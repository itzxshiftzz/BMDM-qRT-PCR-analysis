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\OneDrive\Escritorio\MASTER\TFMYPRACTICAS\TFM borrador\DATA RESULTADOS\"/>
    </mc:Choice>
  </mc:AlternateContent>
  <xr:revisionPtr revIDLastSave="0" documentId="13_ncr:1_{9ABF6296-C263-49E3-9581-BFD54E6915A9}" xr6:coauthVersionLast="47" xr6:coauthVersionMax="47" xr10:uidLastSave="{00000000-0000-0000-0000-000000000000}"/>
  <bookViews>
    <workbookView xWindow="105" yWindow="1620" windowWidth="13485" windowHeight="13575" xr2:uid="{FAFF264C-F81F-4E13-AE67-4CA86CAE4D0F}"/>
  </bookViews>
  <sheets>
    <sheet name="GAPDH" sheetId="1" r:id="rId1"/>
    <sheet name="IL-1b" sheetId="25" r:id="rId2"/>
    <sheet name="NFKB" sheetId="26" r:id="rId3"/>
    <sheet name="COX2" sheetId="27" r:id="rId4"/>
    <sheet name="DUSP1" sheetId="28" r:id="rId5"/>
    <sheet name="TNF" sheetId="29" r:id="rId6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28" l="1"/>
  <c r="G38" i="29"/>
  <c r="F38" i="29"/>
  <c r="H38" i="29" s="1"/>
  <c r="G37" i="29"/>
  <c r="F37" i="29"/>
  <c r="H37" i="29" s="1"/>
  <c r="G36" i="29"/>
  <c r="F36" i="29"/>
  <c r="G35" i="29"/>
  <c r="F35" i="29"/>
  <c r="G34" i="29"/>
  <c r="F34" i="29"/>
  <c r="H34" i="29" s="1"/>
  <c r="G33" i="29"/>
  <c r="F33" i="29"/>
  <c r="H33" i="29" s="1"/>
  <c r="G32" i="29"/>
  <c r="F32" i="29"/>
  <c r="G31" i="29"/>
  <c r="F31" i="29"/>
  <c r="G30" i="29"/>
  <c r="F30" i="29"/>
  <c r="H30" i="29" s="1"/>
  <c r="G29" i="29"/>
  <c r="F29" i="29"/>
  <c r="H29" i="29" s="1"/>
  <c r="G28" i="29"/>
  <c r="F28" i="29"/>
  <c r="G27" i="29"/>
  <c r="F27" i="29"/>
  <c r="H27" i="29" s="1"/>
  <c r="G26" i="29"/>
  <c r="F26" i="29"/>
  <c r="H26" i="29" s="1"/>
  <c r="G25" i="29"/>
  <c r="F25" i="29"/>
  <c r="H25" i="29" s="1"/>
  <c r="G24" i="29"/>
  <c r="F24" i="29"/>
  <c r="G23" i="29"/>
  <c r="F23" i="29"/>
  <c r="H23" i="29" s="1"/>
  <c r="G22" i="29"/>
  <c r="F22" i="29"/>
  <c r="H22" i="29" s="1"/>
  <c r="G21" i="29"/>
  <c r="F21" i="29"/>
  <c r="H21" i="29" s="1"/>
  <c r="G20" i="29"/>
  <c r="F20" i="29"/>
  <c r="G19" i="29"/>
  <c r="F19" i="29"/>
  <c r="H19" i="29" s="1"/>
  <c r="G18" i="29"/>
  <c r="F18" i="29"/>
  <c r="H18" i="29" s="1"/>
  <c r="G17" i="29"/>
  <c r="F17" i="29"/>
  <c r="H17" i="29" s="1"/>
  <c r="G16" i="29"/>
  <c r="F16" i="29"/>
  <c r="H16" i="29" s="1"/>
  <c r="G15" i="29"/>
  <c r="F15" i="29"/>
  <c r="H15" i="29" s="1"/>
  <c r="G14" i="29"/>
  <c r="F14" i="29"/>
  <c r="H14" i="29" s="1"/>
  <c r="G13" i="29"/>
  <c r="F13" i="29"/>
  <c r="H13" i="29" s="1"/>
  <c r="G12" i="29"/>
  <c r="F12" i="29"/>
  <c r="G11" i="29"/>
  <c r="F11" i="29"/>
  <c r="H11" i="29" s="1"/>
  <c r="G10" i="29"/>
  <c r="F10" i="29"/>
  <c r="H10" i="29" s="1"/>
  <c r="G9" i="29"/>
  <c r="F9" i="29"/>
  <c r="H9" i="29" s="1"/>
  <c r="G8" i="29"/>
  <c r="F8" i="29"/>
  <c r="G7" i="29"/>
  <c r="F7" i="29"/>
  <c r="H7" i="29" s="1"/>
  <c r="G6" i="29"/>
  <c r="F6" i="29"/>
  <c r="H6" i="29" s="1"/>
  <c r="G5" i="29"/>
  <c r="F5" i="29"/>
  <c r="H5" i="29" s="1"/>
  <c r="G4" i="29"/>
  <c r="F4" i="29"/>
  <c r="G3" i="29"/>
  <c r="F3" i="29"/>
  <c r="H3" i="29" s="1"/>
  <c r="G2" i="29"/>
  <c r="F2" i="29"/>
  <c r="H2" i="29" s="1"/>
  <c r="G38" i="28"/>
  <c r="F38" i="28"/>
  <c r="H38" i="28" s="1"/>
  <c r="G37" i="28"/>
  <c r="F37" i="28"/>
  <c r="H37" i="28" s="1"/>
  <c r="G36" i="28"/>
  <c r="H36" i="28" s="1"/>
  <c r="F36" i="28"/>
  <c r="G35" i="28"/>
  <c r="F35" i="28"/>
  <c r="H35" i="28" s="1"/>
  <c r="G34" i="28"/>
  <c r="F34" i="28"/>
  <c r="H34" i="28" s="1"/>
  <c r="G33" i="28"/>
  <c r="F33" i="28"/>
  <c r="H33" i="28" s="1"/>
  <c r="G32" i="28"/>
  <c r="F32" i="28"/>
  <c r="G31" i="28"/>
  <c r="F31" i="28"/>
  <c r="H31" i="28" s="1"/>
  <c r="G30" i="28"/>
  <c r="F30" i="28"/>
  <c r="H30" i="28" s="1"/>
  <c r="G29" i="28"/>
  <c r="F29" i="28"/>
  <c r="H29" i="28" s="1"/>
  <c r="G28" i="28"/>
  <c r="H28" i="28" s="1"/>
  <c r="F28" i="28"/>
  <c r="H27" i="28"/>
  <c r="G27" i="28"/>
  <c r="F27" i="28"/>
  <c r="G26" i="28"/>
  <c r="F26" i="28"/>
  <c r="H26" i="28" s="1"/>
  <c r="G25" i="28"/>
  <c r="F25" i="28"/>
  <c r="H25" i="28" s="1"/>
  <c r="G24" i="28"/>
  <c r="F24" i="28"/>
  <c r="G23" i="28"/>
  <c r="F23" i="28"/>
  <c r="H23" i="28" s="1"/>
  <c r="G22" i="28"/>
  <c r="F22" i="28"/>
  <c r="H22" i="28" s="1"/>
  <c r="G21" i="28"/>
  <c r="F21" i="28"/>
  <c r="H21" i="28" s="1"/>
  <c r="G20" i="28"/>
  <c r="F20" i="28"/>
  <c r="H20" i="28" s="1"/>
  <c r="G19" i="28"/>
  <c r="F19" i="28"/>
  <c r="H19" i="28" s="1"/>
  <c r="G18" i="28"/>
  <c r="F18" i="28"/>
  <c r="H18" i="28" s="1"/>
  <c r="G17" i="28"/>
  <c r="F17" i="28"/>
  <c r="H17" i="28" s="1"/>
  <c r="G16" i="28"/>
  <c r="F16" i="28"/>
  <c r="G15" i="28"/>
  <c r="F15" i="28"/>
  <c r="H15" i="28" s="1"/>
  <c r="G14" i="28"/>
  <c r="F14" i="28"/>
  <c r="H14" i="28" s="1"/>
  <c r="G13" i="28"/>
  <c r="F13" i="28"/>
  <c r="H13" i="28" s="1"/>
  <c r="G12" i="28"/>
  <c r="H12" i="28" s="1"/>
  <c r="F12" i="28"/>
  <c r="H11" i="28"/>
  <c r="G11" i="28"/>
  <c r="F11" i="28"/>
  <c r="G10" i="28"/>
  <c r="F10" i="28"/>
  <c r="H10" i="28" s="1"/>
  <c r="G9" i="28"/>
  <c r="F9" i="28"/>
  <c r="H9" i="28" s="1"/>
  <c r="G8" i="28"/>
  <c r="F8" i="28"/>
  <c r="H8" i="28" s="1"/>
  <c r="G7" i="28"/>
  <c r="F7" i="28"/>
  <c r="H7" i="28" s="1"/>
  <c r="G6" i="28"/>
  <c r="F6" i="28"/>
  <c r="H6" i="28" s="1"/>
  <c r="G5" i="28"/>
  <c r="F5" i="28"/>
  <c r="H5" i="28" s="1"/>
  <c r="G4" i="28"/>
  <c r="F4" i="28"/>
  <c r="H4" i="28" s="1"/>
  <c r="G3" i="28"/>
  <c r="F3" i="28"/>
  <c r="H3" i="28" s="1"/>
  <c r="F2" i="28"/>
  <c r="H2" i="28" s="1"/>
  <c r="G38" i="27"/>
  <c r="F38" i="27"/>
  <c r="H38" i="27" s="1"/>
  <c r="G37" i="27"/>
  <c r="F37" i="27"/>
  <c r="H37" i="27" s="1"/>
  <c r="G36" i="27"/>
  <c r="F36" i="27"/>
  <c r="H36" i="27" s="1"/>
  <c r="G35" i="27"/>
  <c r="F35" i="27"/>
  <c r="H35" i="27" s="1"/>
  <c r="G34" i="27"/>
  <c r="F34" i="27"/>
  <c r="H34" i="27" s="1"/>
  <c r="G33" i="27"/>
  <c r="F33" i="27"/>
  <c r="H33" i="27" s="1"/>
  <c r="G32" i="27"/>
  <c r="F32" i="27"/>
  <c r="H32" i="27" s="1"/>
  <c r="H31" i="27"/>
  <c r="G31" i="27"/>
  <c r="F31" i="27"/>
  <c r="G30" i="27"/>
  <c r="F30" i="27"/>
  <c r="H30" i="27" s="1"/>
  <c r="G29" i="27"/>
  <c r="F29" i="27"/>
  <c r="H29" i="27" s="1"/>
  <c r="G28" i="27"/>
  <c r="F28" i="27"/>
  <c r="H28" i="27" s="1"/>
  <c r="G27" i="27"/>
  <c r="F27" i="27"/>
  <c r="H27" i="27" s="1"/>
  <c r="G26" i="27"/>
  <c r="F26" i="27"/>
  <c r="H26" i="27" s="1"/>
  <c r="G25" i="27"/>
  <c r="F25" i="27"/>
  <c r="H25" i="27" s="1"/>
  <c r="G24" i="27"/>
  <c r="F24" i="27"/>
  <c r="H24" i="27" s="1"/>
  <c r="G23" i="27"/>
  <c r="F23" i="27"/>
  <c r="H23" i="27" s="1"/>
  <c r="G22" i="27"/>
  <c r="F22" i="27"/>
  <c r="H22" i="27" s="1"/>
  <c r="G21" i="27"/>
  <c r="F21" i="27"/>
  <c r="H21" i="27" s="1"/>
  <c r="G20" i="27"/>
  <c r="F20" i="27"/>
  <c r="H20" i="27" s="1"/>
  <c r="G19" i="27"/>
  <c r="F19" i="27"/>
  <c r="H19" i="27" s="1"/>
  <c r="G18" i="27"/>
  <c r="F18" i="27"/>
  <c r="H18" i="27" s="1"/>
  <c r="G17" i="27"/>
  <c r="F17" i="27"/>
  <c r="H17" i="27" s="1"/>
  <c r="G16" i="27"/>
  <c r="F16" i="27"/>
  <c r="H16" i="27" s="1"/>
  <c r="G15" i="27"/>
  <c r="F15" i="27"/>
  <c r="G14" i="27"/>
  <c r="F14" i="27"/>
  <c r="H14" i="27" s="1"/>
  <c r="G13" i="27"/>
  <c r="F13" i="27"/>
  <c r="H13" i="27" s="1"/>
  <c r="G12" i="27"/>
  <c r="F12" i="27"/>
  <c r="H12" i="27" s="1"/>
  <c r="G11" i="27"/>
  <c r="F11" i="27"/>
  <c r="G10" i="27"/>
  <c r="F10" i="27"/>
  <c r="H10" i="27" s="1"/>
  <c r="G9" i="27"/>
  <c r="F9" i="27"/>
  <c r="H9" i="27" s="1"/>
  <c r="G8" i="27"/>
  <c r="F8" i="27"/>
  <c r="H8" i="27" s="1"/>
  <c r="G7" i="27"/>
  <c r="F7" i="27"/>
  <c r="G6" i="27"/>
  <c r="F6" i="27"/>
  <c r="H6" i="27" s="1"/>
  <c r="G5" i="27"/>
  <c r="F5" i="27"/>
  <c r="H5" i="27" s="1"/>
  <c r="G4" i="27"/>
  <c r="F4" i="27"/>
  <c r="H4" i="27" s="1"/>
  <c r="G3" i="27"/>
  <c r="F3" i="27"/>
  <c r="G2" i="27"/>
  <c r="F2" i="27"/>
  <c r="H2" i="27" s="1"/>
  <c r="K5" i="25"/>
  <c r="G32" i="25"/>
  <c r="K3" i="26"/>
  <c r="H43" i="26"/>
  <c r="G2" i="26"/>
  <c r="F25" i="26"/>
  <c r="F26" i="26"/>
  <c r="F27" i="26"/>
  <c r="F28" i="26"/>
  <c r="F29" i="26"/>
  <c r="F30" i="26"/>
  <c r="H30" i="26" s="1"/>
  <c r="F31" i="26"/>
  <c r="F32" i="26"/>
  <c r="H32" i="26" s="1"/>
  <c r="G32" i="26"/>
  <c r="G31" i="25"/>
  <c r="G38" i="26"/>
  <c r="F38" i="26"/>
  <c r="H38" i="26" s="1"/>
  <c r="G37" i="26"/>
  <c r="F37" i="26"/>
  <c r="H37" i="26" s="1"/>
  <c r="G36" i="26"/>
  <c r="F36" i="26"/>
  <c r="G35" i="26"/>
  <c r="F35" i="26"/>
  <c r="H35" i="26" s="1"/>
  <c r="G34" i="26"/>
  <c r="F34" i="26"/>
  <c r="H34" i="26" s="1"/>
  <c r="G33" i="26"/>
  <c r="F33" i="26"/>
  <c r="H33" i="26" s="1"/>
  <c r="G31" i="26"/>
  <c r="G30" i="26"/>
  <c r="G29" i="26"/>
  <c r="H29" i="26"/>
  <c r="G28" i="26"/>
  <c r="H28" i="26"/>
  <c r="G27" i="26"/>
  <c r="G26" i="26"/>
  <c r="H26" i="26"/>
  <c r="G25" i="26"/>
  <c r="H25" i="26"/>
  <c r="G24" i="26"/>
  <c r="F24" i="26"/>
  <c r="H24" i="26" s="1"/>
  <c r="G23" i="26"/>
  <c r="F23" i="26"/>
  <c r="G22" i="26"/>
  <c r="F22" i="26"/>
  <c r="H22" i="26" s="1"/>
  <c r="G21" i="26"/>
  <c r="F21" i="26"/>
  <c r="H21" i="26" s="1"/>
  <c r="G20" i="26"/>
  <c r="F20" i="26"/>
  <c r="H20" i="26" s="1"/>
  <c r="G19" i="26"/>
  <c r="F19" i="26"/>
  <c r="G18" i="26"/>
  <c r="F18" i="26"/>
  <c r="H18" i="26" s="1"/>
  <c r="G17" i="26"/>
  <c r="F17" i="26"/>
  <c r="H17" i="26" s="1"/>
  <c r="G16" i="26"/>
  <c r="F16" i="26"/>
  <c r="H16" i="26" s="1"/>
  <c r="G15" i="26"/>
  <c r="F15" i="26"/>
  <c r="G14" i="26"/>
  <c r="F14" i="26"/>
  <c r="H14" i="26" s="1"/>
  <c r="G13" i="26"/>
  <c r="F13" i="26"/>
  <c r="H13" i="26" s="1"/>
  <c r="G12" i="26"/>
  <c r="F12" i="26"/>
  <c r="H12" i="26" s="1"/>
  <c r="G11" i="26"/>
  <c r="F11" i="26"/>
  <c r="H11" i="26" s="1"/>
  <c r="G10" i="26"/>
  <c r="F10" i="26"/>
  <c r="H10" i="26" s="1"/>
  <c r="G9" i="26"/>
  <c r="F9" i="26"/>
  <c r="H9" i="26" s="1"/>
  <c r="G8" i="26"/>
  <c r="F8" i="26"/>
  <c r="H8" i="26" s="1"/>
  <c r="G7" i="26"/>
  <c r="F7" i="26"/>
  <c r="H7" i="26" s="1"/>
  <c r="G6" i="26"/>
  <c r="F6" i="26"/>
  <c r="H6" i="26" s="1"/>
  <c r="G5" i="26"/>
  <c r="F5" i="26"/>
  <c r="H5" i="26" s="1"/>
  <c r="G4" i="26"/>
  <c r="F4" i="26"/>
  <c r="H4" i="26" s="1"/>
  <c r="G3" i="26"/>
  <c r="F3" i="26"/>
  <c r="H3" i="26" s="1"/>
  <c r="F2" i="26"/>
  <c r="H2" i="26" s="1"/>
  <c r="F18" i="25"/>
  <c r="H18" i="25" s="1"/>
  <c r="G18" i="25"/>
  <c r="G33" i="25"/>
  <c r="G34" i="25"/>
  <c r="G35" i="25"/>
  <c r="G36" i="25"/>
  <c r="G37" i="25"/>
  <c r="G26" i="25"/>
  <c r="G27" i="25"/>
  <c r="G28" i="25"/>
  <c r="G29" i="25"/>
  <c r="G30" i="25"/>
  <c r="G25" i="25"/>
  <c r="G24" i="25"/>
  <c r="G20" i="25"/>
  <c r="G21" i="25"/>
  <c r="G22" i="25"/>
  <c r="G23" i="25"/>
  <c r="G19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2" i="25"/>
  <c r="F4" i="25"/>
  <c r="F2" i="25"/>
  <c r="F19" i="25"/>
  <c r="F20" i="25"/>
  <c r="F21" i="25"/>
  <c r="F22" i="25"/>
  <c r="F23" i="25"/>
  <c r="H23" i="25" s="1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H35" i="29" l="1"/>
  <c r="H31" i="29"/>
  <c r="H20" i="29"/>
  <c r="H24" i="29"/>
  <c r="H28" i="29"/>
  <c r="H32" i="29"/>
  <c r="H36" i="29"/>
  <c r="H4" i="29"/>
  <c r="H8" i="29"/>
  <c r="H12" i="29"/>
  <c r="H32" i="28"/>
  <c r="H24" i="28"/>
  <c r="H16" i="28"/>
  <c r="H43" i="29"/>
  <c r="I3" i="29" s="1"/>
  <c r="J3" i="29" s="1"/>
  <c r="H43" i="28"/>
  <c r="I35" i="28" s="1"/>
  <c r="J35" i="28" s="1"/>
  <c r="H3" i="27"/>
  <c r="H7" i="27"/>
  <c r="H11" i="27"/>
  <c r="H15" i="27"/>
  <c r="I15" i="27" s="1"/>
  <c r="J15" i="27" s="1"/>
  <c r="H43" i="27"/>
  <c r="I28" i="27" s="1"/>
  <c r="J28" i="27" s="1"/>
  <c r="H23" i="26"/>
  <c r="H19" i="26"/>
  <c r="H36" i="26"/>
  <c r="H15" i="26"/>
  <c r="H31" i="26"/>
  <c r="H27" i="26"/>
  <c r="I2" i="26"/>
  <c r="J2" i="26" s="1"/>
  <c r="H32" i="25"/>
  <c r="H31" i="25"/>
  <c r="H35" i="25"/>
  <c r="H25" i="25"/>
  <c r="H30" i="25"/>
  <c r="H22" i="25"/>
  <c r="H37" i="25"/>
  <c r="H29" i="25"/>
  <c r="H36" i="25"/>
  <c r="H28" i="25"/>
  <c r="H27" i="25"/>
  <c r="H34" i="25"/>
  <c r="H26" i="25"/>
  <c r="H33" i="25"/>
  <c r="I27" i="29" l="1"/>
  <c r="J27" i="29" s="1"/>
  <c r="I28" i="29"/>
  <c r="J28" i="29" s="1"/>
  <c r="I18" i="29"/>
  <c r="J18" i="29" s="1"/>
  <c r="I34" i="29"/>
  <c r="J34" i="29" s="1"/>
  <c r="I10" i="29"/>
  <c r="J10" i="29" s="1"/>
  <c r="I6" i="29"/>
  <c r="J6" i="29" s="1"/>
  <c r="I2" i="29"/>
  <c r="J2" i="29" s="1"/>
  <c r="I38" i="29"/>
  <c r="J38" i="29" s="1"/>
  <c r="I14" i="29"/>
  <c r="J14" i="29" s="1"/>
  <c r="I25" i="29"/>
  <c r="J25" i="29" s="1"/>
  <c r="I2" i="28"/>
  <c r="J2" i="28" s="1"/>
  <c r="I34" i="28"/>
  <c r="J34" i="28" s="1"/>
  <c r="I36" i="28"/>
  <c r="J36" i="28" s="1"/>
  <c r="I22" i="28"/>
  <c r="J22" i="28" s="1"/>
  <c r="I19" i="28"/>
  <c r="J19" i="28" s="1"/>
  <c r="I3" i="28"/>
  <c r="J3" i="28" s="1"/>
  <c r="I23" i="28"/>
  <c r="J23" i="28" s="1"/>
  <c r="I15" i="28"/>
  <c r="J15" i="28" s="1"/>
  <c r="I12" i="28"/>
  <c r="J12" i="28" s="1"/>
  <c r="I38" i="28"/>
  <c r="J38" i="28" s="1"/>
  <c r="I20" i="28"/>
  <c r="J20" i="28" s="1"/>
  <c r="I5" i="28"/>
  <c r="J5" i="28" s="1"/>
  <c r="I11" i="28"/>
  <c r="J11" i="28" s="1"/>
  <c r="I8" i="28"/>
  <c r="J8" i="28" s="1"/>
  <c r="I27" i="28"/>
  <c r="J27" i="28" s="1"/>
  <c r="I13" i="28"/>
  <c r="J13" i="28" s="1"/>
  <c r="I29" i="28"/>
  <c r="J29" i="28" s="1"/>
  <c r="I28" i="28"/>
  <c r="J28" i="28" s="1"/>
  <c r="I17" i="28"/>
  <c r="J17" i="28" s="1"/>
  <c r="I25" i="28"/>
  <c r="J25" i="28" s="1"/>
  <c r="I4" i="28"/>
  <c r="J4" i="28" s="1"/>
  <c r="I29" i="29"/>
  <c r="J29" i="29" s="1"/>
  <c r="I32" i="29"/>
  <c r="J32" i="29" s="1"/>
  <c r="I31" i="29"/>
  <c r="J31" i="29" s="1"/>
  <c r="I21" i="29"/>
  <c r="J21" i="29" s="1"/>
  <c r="I24" i="29"/>
  <c r="J24" i="29" s="1"/>
  <c r="I23" i="29"/>
  <c r="J23" i="29" s="1"/>
  <c r="I17" i="29"/>
  <c r="J17" i="29" s="1"/>
  <c r="I20" i="29"/>
  <c r="J20" i="29" s="1"/>
  <c r="I19" i="29"/>
  <c r="J19" i="29" s="1"/>
  <c r="I13" i="29"/>
  <c r="J13" i="29" s="1"/>
  <c r="I12" i="29"/>
  <c r="J12" i="29" s="1"/>
  <c r="I15" i="29"/>
  <c r="J15" i="29" s="1"/>
  <c r="I30" i="29"/>
  <c r="J30" i="29" s="1"/>
  <c r="I9" i="29"/>
  <c r="J9" i="29" s="1"/>
  <c r="I8" i="29"/>
  <c r="J8" i="29" s="1"/>
  <c r="I11" i="29"/>
  <c r="J11" i="29" s="1"/>
  <c r="I4" i="29"/>
  <c r="J4" i="29" s="1"/>
  <c r="I26" i="29"/>
  <c r="J26" i="29" s="1"/>
  <c r="I37" i="29"/>
  <c r="J37" i="29" s="1"/>
  <c r="I5" i="29"/>
  <c r="J5" i="29" s="1"/>
  <c r="I16" i="29"/>
  <c r="J16" i="29" s="1"/>
  <c r="I7" i="29"/>
  <c r="J7" i="29" s="1"/>
  <c r="I22" i="29"/>
  <c r="J22" i="29" s="1"/>
  <c r="I33" i="29"/>
  <c r="J33" i="29" s="1"/>
  <c r="I36" i="29"/>
  <c r="J36" i="29" s="1"/>
  <c r="I35" i="29"/>
  <c r="J35" i="29" s="1"/>
  <c r="I31" i="28"/>
  <c r="J31" i="28" s="1"/>
  <c r="I10" i="28"/>
  <c r="J10" i="28" s="1"/>
  <c r="I16" i="28"/>
  <c r="J16" i="28" s="1"/>
  <c r="I9" i="28"/>
  <c r="J9" i="28" s="1"/>
  <c r="I18" i="28"/>
  <c r="J18" i="28" s="1"/>
  <c r="I24" i="28"/>
  <c r="J24" i="28" s="1"/>
  <c r="I21" i="28"/>
  <c r="J21" i="28" s="1"/>
  <c r="I6" i="28"/>
  <c r="J6" i="28" s="1"/>
  <c r="I37" i="28"/>
  <c r="J37" i="28" s="1"/>
  <c r="I33" i="28"/>
  <c r="J33" i="28" s="1"/>
  <c r="I14" i="28"/>
  <c r="J14" i="28" s="1"/>
  <c r="I32" i="28"/>
  <c r="J32" i="28" s="1"/>
  <c r="I7" i="28"/>
  <c r="J7" i="28" s="1"/>
  <c r="I30" i="28"/>
  <c r="J30" i="28" s="1"/>
  <c r="I26" i="28"/>
  <c r="J26" i="28" s="1"/>
  <c r="I20" i="27"/>
  <c r="J20" i="27" s="1"/>
  <c r="I26" i="27"/>
  <c r="J26" i="27" s="1"/>
  <c r="I25" i="27"/>
  <c r="J25" i="27" s="1"/>
  <c r="I6" i="27"/>
  <c r="J6" i="27" s="1"/>
  <c r="I34" i="27"/>
  <c r="J34" i="27" s="1"/>
  <c r="I36" i="27"/>
  <c r="J36" i="27" s="1"/>
  <c r="I11" i="27"/>
  <c r="J11" i="27" s="1"/>
  <c r="I17" i="27"/>
  <c r="J17" i="27" s="1"/>
  <c r="I16" i="27"/>
  <c r="J16" i="27" s="1"/>
  <c r="I37" i="27"/>
  <c r="J37" i="27" s="1"/>
  <c r="I9" i="27"/>
  <c r="J9" i="27" s="1"/>
  <c r="I30" i="27"/>
  <c r="J30" i="27" s="1"/>
  <c r="I13" i="27"/>
  <c r="J13" i="27" s="1"/>
  <c r="I5" i="27"/>
  <c r="J5" i="27" s="1"/>
  <c r="I29" i="27"/>
  <c r="J29" i="27" s="1"/>
  <c r="I18" i="27"/>
  <c r="J18" i="27" s="1"/>
  <c r="I12" i="27"/>
  <c r="J12" i="27" s="1"/>
  <c r="I7" i="27"/>
  <c r="J7" i="27" s="1"/>
  <c r="I22" i="27"/>
  <c r="J22" i="27" s="1"/>
  <c r="I2" i="27"/>
  <c r="J2" i="27" s="1"/>
  <c r="I8" i="27"/>
  <c r="J8" i="27" s="1"/>
  <c r="I3" i="27"/>
  <c r="J3" i="27" s="1"/>
  <c r="I31" i="27"/>
  <c r="J31" i="27" s="1"/>
  <c r="I19" i="27"/>
  <c r="J19" i="27" s="1"/>
  <c r="I23" i="27"/>
  <c r="J23" i="27" s="1"/>
  <c r="I35" i="27"/>
  <c r="J35" i="27" s="1"/>
  <c r="I27" i="27"/>
  <c r="J27" i="27" s="1"/>
  <c r="I4" i="27"/>
  <c r="J4" i="27" s="1"/>
  <c r="I14" i="27"/>
  <c r="J14" i="27" s="1"/>
  <c r="I21" i="27"/>
  <c r="J21" i="27" s="1"/>
  <c r="I24" i="27"/>
  <c r="J24" i="27" s="1"/>
  <c r="I38" i="27"/>
  <c r="J38" i="27" s="1"/>
  <c r="I10" i="27"/>
  <c r="J10" i="27" s="1"/>
  <c r="I33" i="27"/>
  <c r="J33" i="27" s="1"/>
  <c r="I32" i="27"/>
  <c r="J32" i="27" s="1"/>
  <c r="I32" i="26"/>
  <c r="J32" i="26" s="1"/>
  <c r="I17" i="26"/>
  <c r="J17" i="26" s="1"/>
  <c r="I20" i="26"/>
  <c r="J20" i="26" s="1"/>
  <c r="I23" i="26"/>
  <c r="J23" i="26" s="1"/>
  <c r="I26" i="26"/>
  <c r="J26" i="26" s="1"/>
  <c r="I27" i="26"/>
  <c r="J27" i="26" s="1"/>
  <c r="I18" i="26"/>
  <c r="J18" i="26" s="1"/>
  <c r="I30" i="26"/>
  <c r="J30" i="26" s="1"/>
  <c r="I14" i="26"/>
  <c r="J14" i="26" s="1"/>
  <c r="I24" i="26"/>
  <c r="J24" i="26" s="1"/>
  <c r="I13" i="26"/>
  <c r="J13" i="26" s="1"/>
  <c r="I19" i="26"/>
  <c r="J19" i="26" s="1"/>
  <c r="I9" i="26"/>
  <c r="J9" i="26" s="1"/>
  <c r="I15" i="26"/>
  <c r="J15" i="26" s="1"/>
  <c r="I38" i="26"/>
  <c r="J38" i="26" s="1"/>
  <c r="I5" i="26"/>
  <c r="J5" i="26" s="1"/>
  <c r="I8" i="26"/>
  <c r="J8" i="26" s="1"/>
  <c r="I11" i="26"/>
  <c r="J11" i="26" s="1"/>
  <c r="I34" i="26"/>
  <c r="J34" i="26" s="1"/>
  <c r="I37" i="26"/>
  <c r="J37" i="26" s="1"/>
  <c r="I4" i="26"/>
  <c r="J4" i="26" s="1"/>
  <c r="I7" i="26"/>
  <c r="J7" i="26" s="1"/>
  <c r="I10" i="26"/>
  <c r="J10" i="26" s="1"/>
  <c r="I21" i="26"/>
  <c r="J21" i="26" s="1"/>
  <c r="I16" i="26"/>
  <c r="J16" i="26" s="1"/>
  <c r="I22" i="26"/>
  <c r="J22" i="26" s="1"/>
  <c r="I12" i="26"/>
  <c r="J12" i="26" s="1"/>
  <c r="I29" i="26"/>
  <c r="J29" i="26" s="1"/>
  <c r="I33" i="26"/>
  <c r="J33" i="26" s="1"/>
  <c r="I36" i="26"/>
  <c r="J36" i="26" s="1"/>
  <c r="I3" i="26"/>
  <c r="J3" i="26" s="1"/>
  <c r="J43" i="26" s="1"/>
  <c r="K2" i="26" s="1"/>
  <c r="I6" i="26"/>
  <c r="J6" i="26" s="1"/>
  <c r="I25" i="26"/>
  <c r="J25" i="26" s="1"/>
  <c r="I28" i="26"/>
  <c r="J28" i="26" s="1"/>
  <c r="I31" i="26"/>
  <c r="J31" i="26" s="1"/>
  <c r="I35" i="26"/>
  <c r="J35" i="26" s="1"/>
  <c r="F3" i="25"/>
  <c r="F9" i="1"/>
  <c r="F32" i="1"/>
  <c r="F38" i="1"/>
  <c r="F37" i="1"/>
  <c r="F36" i="1"/>
  <c r="F35" i="1"/>
  <c r="F34" i="1"/>
  <c r="F33" i="1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3" i="1"/>
  <c r="F4" i="1"/>
  <c r="F5" i="1"/>
  <c r="F6" i="1"/>
  <c r="F7" i="1"/>
  <c r="F8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H19" i="25" s="1"/>
  <c r="F23" i="1"/>
  <c r="H20" i="25" s="1"/>
  <c r="F24" i="1"/>
  <c r="H21" i="25" s="1"/>
  <c r="H24" i="25"/>
  <c r="F25" i="1"/>
  <c r="F26" i="1"/>
  <c r="F27" i="1"/>
  <c r="F28" i="1"/>
  <c r="F29" i="1"/>
  <c r="F30" i="1"/>
  <c r="F31" i="1"/>
  <c r="F2" i="1"/>
  <c r="H2" i="25" s="1"/>
  <c r="J43" i="29" l="1"/>
  <c r="K8" i="29" s="1"/>
  <c r="J43" i="28"/>
  <c r="K32" i="28" s="1"/>
  <c r="K27" i="27"/>
  <c r="K8" i="27"/>
  <c r="J43" i="27"/>
  <c r="K21" i="27" s="1"/>
  <c r="H7" i="25"/>
  <c r="H6" i="25"/>
  <c r="H5" i="25"/>
  <c r="H4" i="25"/>
  <c r="H3" i="25"/>
  <c r="H11" i="25"/>
  <c r="H13" i="25"/>
  <c r="H12" i="25"/>
  <c r="H17" i="25"/>
  <c r="H16" i="25"/>
  <c r="H10" i="25"/>
  <c r="H9" i="25"/>
  <c r="H14" i="25"/>
  <c r="H8" i="25"/>
  <c r="H15" i="25"/>
  <c r="K12" i="29" l="1"/>
  <c r="K26" i="29"/>
  <c r="K9" i="29"/>
  <c r="K30" i="29"/>
  <c r="K33" i="29"/>
  <c r="K5" i="29"/>
  <c r="K32" i="29"/>
  <c r="K19" i="29"/>
  <c r="K36" i="29"/>
  <c r="K11" i="29"/>
  <c r="K35" i="29"/>
  <c r="K29" i="29"/>
  <c r="K37" i="29"/>
  <c r="K21" i="29"/>
  <c r="K24" i="29"/>
  <c r="K3" i="29"/>
  <c r="K25" i="29"/>
  <c r="K10" i="29"/>
  <c r="K18" i="29"/>
  <c r="K34" i="29"/>
  <c r="K38" i="29"/>
  <c r="K2" i="29"/>
  <c r="K27" i="29"/>
  <c r="K6" i="29"/>
  <c r="K14" i="29"/>
  <c r="K28" i="29"/>
  <c r="K17" i="29"/>
  <c r="K4" i="29"/>
  <c r="K20" i="29"/>
  <c r="K23" i="29"/>
  <c r="K15" i="29"/>
  <c r="K7" i="29"/>
  <c r="K13" i="29"/>
  <c r="K22" i="29"/>
  <c r="K31" i="29"/>
  <c r="K16" i="29"/>
  <c r="K6" i="28"/>
  <c r="K35" i="28"/>
  <c r="K19" i="28"/>
  <c r="K15" i="28"/>
  <c r="K28" i="28"/>
  <c r="K2" i="28"/>
  <c r="K3" i="28"/>
  <c r="K11" i="28"/>
  <c r="K27" i="28"/>
  <c r="K38" i="28"/>
  <c r="K13" i="28"/>
  <c r="K29" i="28"/>
  <c r="K23" i="28"/>
  <c r="K5" i="28"/>
  <c r="K12" i="28"/>
  <c r="K17" i="28"/>
  <c r="K22" i="28"/>
  <c r="K20" i="28"/>
  <c r="K36" i="28"/>
  <c r="K4" i="28"/>
  <c r="K8" i="28"/>
  <c r="K34" i="28"/>
  <c r="K25" i="28"/>
  <c r="K14" i="28"/>
  <c r="K37" i="28"/>
  <c r="K31" i="28"/>
  <c r="K30" i="28"/>
  <c r="K9" i="28"/>
  <c r="K21" i="28"/>
  <c r="K10" i="28"/>
  <c r="K16" i="28"/>
  <c r="K26" i="28"/>
  <c r="K7" i="28"/>
  <c r="K18" i="28"/>
  <c r="K24" i="28"/>
  <c r="K33" i="28"/>
  <c r="K4" i="27"/>
  <c r="K23" i="27"/>
  <c r="K22" i="27"/>
  <c r="K12" i="27"/>
  <c r="K14" i="27"/>
  <c r="K10" i="27"/>
  <c r="K38" i="27"/>
  <c r="K32" i="27"/>
  <c r="K24" i="27"/>
  <c r="K31" i="27"/>
  <c r="K3" i="27"/>
  <c r="K7" i="27"/>
  <c r="K2" i="27"/>
  <c r="K33" i="27"/>
  <c r="K28" i="27"/>
  <c r="K37" i="27"/>
  <c r="K5" i="27"/>
  <c r="K20" i="27"/>
  <c r="K9" i="27"/>
  <c r="K25" i="27"/>
  <c r="K15" i="27"/>
  <c r="K6" i="27"/>
  <c r="K17" i="27"/>
  <c r="K11" i="27"/>
  <c r="K36" i="27"/>
  <c r="K26" i="27"/>
  <c r="K30" i="27"/>
  <c r="K34" i="27"/>
  <c r="K13" i="27"/>
  <c r="K16" i="27"/>
  <c r="K18" i="27"/>
  <c r="K29" i="27"/>
  <c r="K35" i="27"/>
  <c r="K19" i="27"/>
  <c r="K32" i="26"/>
  <c r="K14" i="26"/>
  <c r="K34" i="26"/>
  <c r="K16" i="26"/>
  <c r="K4" i="26"/>
  <c r="K25" i="26"/>
  <c r="K36" i="26"/>
  <c r="K12" i="26"/>
  <c r="K17" i="26"/>
  <c r="K24" i="26"/>
  <c r="K23" i="26"/>
  <c r="K31" i="26"/>
  <c r="K11" i="26"/>
  <c r="K19" i="26"/>
  <c r="K7" i="26"/>
  <c r="K21" i="26"/>
  <c r="K20" i="26"/>
  <c r="K29" i="26"/>
  <c r="K13" i="26"/>
  <c r="K15" i="26"/>
  <c r="K33" i="26"/>
  <c r="K18" i="26"/>
  <c r="K38" i="26"/>
  <c r="K22" i="26"/>
  <c r="K37" i="26"/>
  <c r="K5" i="26"/>
  <c r="K10" i="26"/>
  <c r="K28" i="26"/>
  <c r="K35" i="26"/>
  <c r="K26" i="26"/>
  <c r="K8" i="26"/>
  <c r="K6" i="26"/>
  <c r="K27" i="26"/>
  <c r="K9" i="26"/>
  <c r="K30" i="26"/>
  <c r="H42" i="25"/>
  <c r="I18" i="25" s="1"/>
  <c r="J18" i="25" s="1"/>
  <c r="I33" i="25"/>
  <c r="J33" i="25" s="1"/>
  <c r="I30" i="25"/>
  <c r="J30" i="25" s="1"/>
  <c r="I16" i="25"/>
  <c r="J16" i="25" s="1"/>
  <c r="I21" i="25"/>
  <c r="J21" i="25" s="1"/>
  <c r="I23" i="25" l="1"/>
  <c r="J23" i="25" s="1"/>
  <c r="I31" i="25"/>
  <c r="J31" i="25" s="1"/>
  <c r="I27" i="25"/>
  <c r="J27" i="25" s="1"/>
  <c r="I12" i="25"/>
  <c r="J12" i="25" s="1"/>
  <c r="I32" i="25"/>
  <c r="J32" i="25" s="1"/>
  <c r="I24" i="25"/>
  <c r="J24" i="25" s="1"/>
  <c r="I11" i="25"/>
  <c r="J11" i="25" s="1"/>
  <c r="I26" i="25"/>
  <c r="J26" i="25" s="1"/>
  <c r="I37" i="25"/>
  <c r="J37" i="25" s="1"/>
  <c r="I28" i="25"/>
  <c r="J28" i="25" s="1"/>
  <c r="I13" i="25"/>
  <c r="J13" i="25" s="1"/>
  <c r="I35" i="25"/>
  <c r="J35" i="25" s="1"/>
  <c r="I17" i="25"/>
  <c r="J17" i="25" s="1"/>
  <c r="I9" i="25"/>
  <c r="J9" i="25" s="1"/>
  <c r="I4" i="25"/>
  <c r="J4" i="25" s="1"/>
  <c r="I19" i="25"/>
  <c r="J19" i="25" s="1"/>
  <c r="I25" i="25"/>
  <c r="J25" i="25" s="1"/>
  <c r="I8" i="25"/>
  <c r="J8" i="25" s="1"/>
  <c r="I14" i="25"/>
  <c r="J14" i="25" s="1"/>
  <c r="I36" i="25"/>
  <c r="J36" i="25" s="1"/>
  <c r="I29" i="25"/>
  <c r="J29" i="25" s="1"/>
  <c r="I22" i="25"/>
  <c r="J22" i="25" s="1"/>
  <c r="I20" i="25"/>
  <c r="J20" i="25" s="1"/>
  <c r="I15" i="25"/>
  <c r="J15" i="25" s="1"/>
  <c r="I10" i="25"/>
  <c r="J10" i="25" s="1"/>
  <c r="I34" i="25"/>
  <c r="J34" i="25" s="1"/>
  <c r="I3" i="25"/>
  <c r="J3" i="25" s="1"/>
  <c r="I2" i="25"/>
  <c r="J2" i="25" s="1"/>
  <c r="I6" i="25"/>
  <c r="J6" i="25" s="1"/>
  <c r="I7" i="25"/>
  <c r="J7" i="25" s="1"/>
  <c r="I5" i="25"/>
  <c r="J5" i="25" s="1"/>
  <c r="J42" i="25" l="1"/>
  <c r="K10" i="25" s="1"/>
  <c r="K20" i="25" l="1"/>
  <c r="K25" i="25"/>
  <c r="K18" i="25"/>
  <c r="K19" i="25"/>
  <c r="K32" i="25"/>
  <c r="K13" i="25"/>
  <c r="K24" i="25"/>
  <c r="K35" i="25"/>
  <c r="K9" i="25"/>
  <c r="K14" i="25"/>
  <c r="K36" i="25"/>
  <c r="K30" i="25"/>
  <c r="K33" i="25"/>
  <c r="K4" i="25"/>
  <c r="K27" i="25"/>
  <c r="K28" i="25"/>
  <c r="K11" i="25"/>
  <c r="K22" i="25"/>
  <c r="K23" i="25"/>
  <c r="K26" i="25"/>
  <c r="K15" i="25"/>
  <c r="K17" i="25"/>
  <c r="K21" i="25"/>
  <c r="K29" i="25"/>
  <c r="K16" i="25"/>
  <c r="K37" i="25"/>
  <c r="K31" i="25"/>
  <c r="K12" i="25"/>
  <c r="K34" i="25"/>
  <c r="K8" i="25"/>
  <c r="K3" i="25"/>
  <c r="K6" i="25"/>
  <c r="K7" i="25"/>
  <c r="K2" i="25"/>
</calcChain>
</file>

<file path=xl/sharedStrings.xml><?xml version="1.0" encoding="utf-8"?>
<sst xmlns="http://schemas.openxmlformats.org/spreadsheetml/2006/main" count="316" uniqueCount="25">
  <si>
    <t>Cp1</t>
  </si>
  <si>
    <t>AVCp</t>
  </si>
  <si>
    <t>Cp2</t>
  </si>
  <si>
    <t>∆Cq</t>
  </si>
  <si>
    <t>∆∆Cq</t>
  </si>
  <si>
    <t>2^(∆∆Cq)</t>
  </si>
  <si>
    <t>Fold change</t>
  </si>
  <si>
    <t>Control</t>
  </si>
  <si>
    <t>C1</t>
  </si>
  <si>
    <t>C2</t>
  </si>
  <si>
    <t>C3</t>
  </si>
  <si>
    <t>Cp3</t>
  </si>
  <si>
    <t>AVCp Housekeeping</t>
  </si>
  <si>
    <t>AV ∆Cq Control</t>
  </si>
  <si>
    <t>AV 2^(∆∆Cq) Control</t>
  </si>
  <si>
    <t>LPS</t>
  </si>
  <si>
    <t>C4</t>
  </si>
  <si>
    <t>C5</t>
  </si>
  <si>
    <t>C6</t>
  </si>
  <si>
    <t>TDV19</t>
  </si>
  <si>
    <t>MCC950</t>
  </si>
  <si>
    <t>DEXA</t>
  </si>
  <si>
    <t>C7</t>
  </si>
  <si>
    <t>IL-4/IL_13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</si>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</sst>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;\-#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.25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/>
    <xf numFmtId="0" fontId="2" fillId="0" borderId="3" xfId="0" applyFont="1" applyBorder="1"/>
    <xf numFmtId="2" fontId="0" fillId="0" borderId="10" xfId="0" applyNumberFormat="1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2" fontId="0" fillId="0" borderId="5" xfId="0" applyNumberFormat="1" applyBorder="1" applyAlignment="1">
      <alignment horizontal="left"/>
    </xf>
    <xf numFmtId="2" fontId="0" fillId="0" borderId="0" xfId="0" applyNumberFormat="1"/>
    <xf numFmtId="0" fontId="1" fillId="0" borderId="8" xfId="0" applyFont="1" applyBorder="1"/>
    <xf numFmtId="0" fontId="1" fillId="0" borderId="0" xfId="0" applyFont="1"/>
    <xf numFmtId="0" fontId="2" fillId="0" borderId="11" xfId="0" applyFont="1" applyBorder="1"/>
    <xf numFmtId="2" fontId="0" fillId="0" borderId="9" xfId="0" applyNumberFormat="1" applyBorder="1"/>
    <xf numFmtId="2" fontId="0" fillId="2" borderId="0" xfId="0" applyNumberFormat="1" applyFill="1"/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 applyProtection="1">
      <alignment vertical="top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299357</xdr:colOff>
      <xdr:row>1</xdr:row>
      <xdr:rowOff>54429</xdr:rowOff>
    </xdr:from>
    <xdr:to>
      <xdr:col>17</xdr:col>
      <xdr:colOff>598714</xdr:colOff>
      <xdr:row>38</xdr:row>
      <xdr:rowOff>90492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AC5C67-DED4-2528-7534-C9D09AD7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86" y="244929"/>
          <a:ext cx="8232321" cy="7084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26</xdr:row>
      <xdr:rowOff>0</xdr:rowOff>
    </xdr:from>
    <xdr:to>
      <xdr:col>17</xdr:col>
      <xdr:colOff>304800</xdr:colOff>
      <xdr:row>27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90A4626-B2B1-52E7-3EED-5653EF2ECDF2}"/>
            </a:ext>
          </a:extLst>
        </xdr:cNvPr>
        <xdr:cNvSpPr>
          <a:spLocks noChangeAspect="1" noChangeArrowheads="1"/>
        </xdr:cNvSpPr>
      </xdr:nvSpPr>
      <xdr:spPr bwMode="auto">
        <a:xfrm>
          <a:off x="14687550" y="49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24</xdr:row>
      <xdr:rowOff>0</xdr:rowOff>
    </xdr:from>
    <xdr:to>
      <xdr:col>18</xdr:col>
      <xdr:colOff>304800</xdr:colOff>
      <xdr:row>25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58717B0F-CF69-14E3-A0DF-B00FC36BC0B7}"/>
            </a:ext>
          </a:extLst>
        </xdr:cNvPr>
        <xdr:cNvSpPr>
          <a:spLocks noChangeAspect="1" noChangeArrowheads="1"/>
        </xdr:cNvSpPr>
      </xdr:nvSpPr>
      <xdr:spPr bwMode="auto">
        <a:xfrm>
          <a:off x="13716000" y="45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469A-3D5B-4CCA-A2BA-FEE0D97ACD67}">
  <dimension ref="A1:P38"/>
  <sheetViews>
    <sheetView tabSelected="1" topLeftCell="C1" zoomScale="70" zoomScaleNormal="70" workbookViewId="0">
      <selection activeCell="K42" sqref="K42"/>
    </sheetView>
  </sheetViews>
  <sheetFormatPr baseColWidth="10" defaultColWidth="10.85546875" defaultRowHeight="15" x14ac:dyDescent="0.25"/>
  <cols>
    <col min="1" max="1" width="10.85546875" style="15"/>
    <col min="2" max="2" width="6.7109375" style="15" customWidth="1"/>
    <col min="3" max="16384" width="10.85546875" style="15"/>
  </cols>
  <sheetData>
    <row r="1" spans="1:16" x14ac:dyDescent="0.25">
      <c r="C1" s="16" t="s">
        <v>0</v>
      </c>
      <c r="D1" s="17" t="s">
        <v>2</v>
      </c>
      <c r="E1" s="17" t="s">
        <v>11</v>
      </c>
      <c r="F1" s="18" t="s">
        <v>1</v>
      </c>
    </row>
    <row r="2" spans="1:16" x14ac:dyDescent="0.25">
      <c r="A2" s="29" t="s">
        <v>7</v>
      </c>
      <c r="B2" s="19" t="s">
        <v>8</v>
      </c>
      <c r="C2" s="14">
        <v>19.8817498613328</v>
      </c>
      <c r="D2" s="14">
        <v>20.020865387681901</v>
      </c>
      <c r="E2" s="14">
        <v>19.737723762307098</v>
      </c>
      <c r="F2" s="20">
        <f>AVERAGE(C2:E2)</f>
        <v>19.880113003773932</v>
      </c>
    </row>
    <row r="3" spans="1:16" x14ac:dyDescent="0.25">
      <c r="A3" s="30"/>
      <c r="B3" s="21" t="s">
        <v>9</v>
      </c>
      <c r="C3" s="14">
        <v>19.106449555622198</v>
      </c>
      <c r="D3" s="14">
        <v>18.9461668370034</v>
      </c>
      <c r="E3" s="14">
        <v>18.617431563653</v>
      </c>
      <c r="F3" s="20">
        <f t="shared" ref="F3:F32" si="0">AVERAGE(C3:E3)</f>
        <v>18.890015985426199</v>
      </c>
    </row>
    <row r="4" spans="1:16" x14ac:dyDescent="0.25">
      <c r="A4" s="30"/>
      <c r="B4" s="21" t="s">
        <v>10</v>
      </c>
      <c r="C4" s="14">
        <v>21.2783284565832</v>
      </c>
      <c r="D4" s="14">
        <v>20.993510488436499</v>
      </c>
      <c r="E4" s="14">
        <v>20.584263102557301</v>
      </c>
      <c r="F4" s="20">
        <f t="shared" si="0"/>
        <v>20.952034015858999</v>
      </c>
    </row>
    <row r="5" spans="1:16" x14ac:dyDescent="0.25">
      <c r="A5" s="30"/>
      <c r="B5" s="21" t="s">
        <v>16</v>
      </c>
      <c r="C5" s="23"/>
      <c r="D5" s="23">
        <v>20.843884684610401</v>
      </c>
      <c r="E5" s="23">
        <v>19.696204062534299</v>
      </c>
      <c r="F5" s="20">
        <f t="shared" si="0"/>
        <v>20.27004437357235</v>
      </c>
    </row>
    <row r="6" spans="1:16" x14ac:dyDescent="0.25">
      <c r="A6" s="30"/>
      <c r="B6" s="21" t="s">
        <v>17</v>
      </c>
      <c r="C6" s="14"/>
      <c r="D6" s="14">
        <v>20.879237023812401</v>
      </c>
      <c r="E6" s="14">
        <v>20.629814536712399</v>
      </c>
      <c r="F6" s="20">
        <f t="shared" si="0"/>
        <v>20.754525780262398</v>
      </c>
    </row>
    <row r="7" spans="1:16" x14ac:dyDescent="0.25">
      <c r="A7" s="30"/>
      <c r="B7" s="21" t="s">
        <v>18</v>
      </c>
      <c r="C7" s="23">
        <v>20.008981103021899</v>
      </c>
      <c r="D7" s="23">
        <v>20.108911018728399</v>
      </c>
      <c r="E7" s="23">
        <v>20.318338973796699</v>
      </c>
      <c r="F7" s="20">
        <f t="shared" si="0"/>
        <v>20.145410365182332</v>
      </c>
    </row>
    <row r="8" spans="1:16" x14ac:dyDescent="0.25">
      <c r="A8" s="29" t="s">
        <v>15</v>
      </c>
      <c r="B8" s="19" t="s">
        <v>8</v>
      </c>
      <c r="C8" s="14">
        <v>18.4507138193133</v>
      </c>
      <c r="D8" s="14">
        <v>18.658177323299501</v>
      </c>
      <c r="E8" s="14">
        <v>18.828611441443101</v>
      </c>
      <c r="F8" s="20">
        <f t="shared" si="0"/>
        <v>18.645834194685303</v>
      </c>
    </row>
    <row r="9" spans="1:16" x14ac:dyDescent="0.25">
      <c r="A9" s="32"/>
      <c r="B9" s="21" t="s">
        <v>9</v>
      </c>
      <c r="C9" s="14">
        <v>20.159070423784001</v>
      </c>
      <c r="D9" s="14">
        <v>20.004749080009599</v>
      </c>
      <c r="E9" s="14"/>
      <c r="F9" s="20">
        <f t="shared" si="0"/>
        <v>20.081909751896802</v>
      </c>
    </row>
    <row r="10" spans="1:16" x14ac:dyDescent="0.25">
      <c r="A10" s="32"/>
      <c r="B10" s="21" t="s">
        <v>10</v>
      </c>
      <c r="C10" s="14">
        <v>20.822079984409601</v>
      </c>
      <c r="D10" s="14">
        <v>20.7513916796225</v>
      </c>
      <c r="E10" s="14"/>
      <c r="F10" s="20">
        <f t="shared" si="0"/>
        <v>20.786735832016049</v>
      </c>
    </row>
    <row r="11" spans="1:16" x14ac:dyDescent="0.25">
      <c r="A11" s="32"/>
      <c r="B11" s="21" t="s">
        <v>16</v>
      </c>
      <c r="C11" s="23">
        <v>20.4584318260457</v>
      </c>
      <c r="D11" s="23">
        <v>20.203518581126499</v>
      </c>
      <c r="E11" s="23">
        <v>19.5196354578209</v>
      </c>
      <c r="F11" s="20">
        <f t="shared" si="0"/>
        <v>20.060528621664364</v>
      </c>
    </row>
    <row r="12" spans="1:16" x14ac:dyDescent="0.25">
      <c r="A12" s="32"/>
      <c r="B12" s="21" t="s">
        <v>17</v>
      </c>
      <c r="C12" s="23">
        <v>21.489059691747201</v>
      </c>
      <c r="D12" s="23">
        <v>21.302709219592199</v>
      </c>
      <c r="E12" s="23">
        <v>20.925005497388501</v>
      </c>
      <c r="F12" s="20">
        <f t="shared" si="0"/>
        <v>21.238924802909299</v>
      </c>
    </row>
    <row r="13" spans="1:16" x14ac:dyDescent="0.25">
      <c r="A13" s="33"/>
      <c r="B13" s="22" t="s">
        <v>22</v>
      </c>
      <c r="C13" s="23"/>
      <c r="D13" s="23">
        <v>20.499554817562601</v>
      </c>
      <c r="E13" s="23">
        <v>20.385450790809902</v>
      </c>
      <c r="F13" s="20">
        <f t="shared" si="0"/>
        <v>20.442502804186251</v>
      </c>
    </row>
    <row r="14" spans="1:16" x14ac:dyDescent="0.25">
      <c r="A14" s="29" t="s">
        <v>21</v>
      </c>
      <c r="B14" s="19" t="s">
        <v>8</v>
      </c>
      <c r="C14" s="14">
        <v>33.318588407737103</v>
      </c>
      <c r="D14" s="14">
        <v>32.175539700197298</v>
      </c>
      <c r="E14" s="14">
        <v>35.612818618663603</v>
      </c>
      <c r="F14" s="20">
        <f t="shared" si="0"/>
        <v>33.702315575532673</v>
      </c>
      <c r="P14"/>
    </row>
    <row r="15" spans="1:16" x14ac:dyDescent="0.25">
      <c r="A15" s="32"/>
      <c r="B15" s="21" t="s">
        <v>9</v>
      </c>
      <c r="C15" s="14">
        <v>23.040423103291399</v>
      </c>
      <c r="D15" s="14">
        <v>22.999893484163401</v>
      </c>
      <c r="E15" s="14">
        <v>21.5246810533733</v>
      </c>
      <c r="F15" s="20">
        <f t="shared" si="0"/>
        <v>22.521665880276032</v>
      </c>
    </row>
    <row r="16" spans="1:16" x14ac:dyDescent="0.25">
      <c r="A16" s="32"/>
      <c r="B16" s="21" t="s">
        <v>10</v>
      </c>
      <c r="C16" s="14">
        <v>20.964273565280099</v>
      </c>
      <c r="D16" s="14">
        <v>20.840899291238699</v>
      </c>
      <c r="E16" s="14">
        <v>20.548826418386401</v>
      </c>
      <c r="F16" s="20">
        <f t="shared" si="0"/>
        <v>20.784666424968396</v>
      </c>
    </row>
    <row r="17" spans="1:6" x14ac:dyDescent="0.25">
      <c r="A17" s="32"/>
      <c r="B17" s="21" t="s">
        <v>16</v>
      </c>
      <c r="C17" s="23">
        <v>21.6424596748206</v>
      </c>
      <c r="D17" s="23">
        <v>21.765170706677701</v>
      </c>
      <c r="E17" s="23">
        <v>21.3836596856186</v>
      </c>
      <c r="F17" s="20">
        <f t="shared" si="0"/>
        <v>21.597096689038967</v>
      </c>
    </row>
    <row r="18" spans="1:6" x14ac:dyDescent="0.25">
      <c r="A18" s="32"/>
      <c r="B18" s="21" t="s">
        <v>18</v>
      </c>
      <c r="C18" s="23">
        <v>36.938134242254598</v>
      </c>
      <c r="D18" s="23">
        <v>36.7213978143661</v>
      </c>
      <c r="E18" s="23">
        <v>34.329799503914998</v>
      </c>
      <c r="F18" s="20">
        <f t="shared" si="0"/>
        <v>35.996443853511899</v>
      </c>
    </row>
    <row r="19" spans="1:6" x14ac:dyDescent="0.25">
      <c r="A19" s="29" t="s">
        <v>20</v>
      </c>
      <c r="B19" s="19" t="s">
        <v>8</v>
      </c>
      <c r="C19" s="14">
        <v>19.015183474889501</v>
      </c>
      <c r="D19" s="14">
        <v>18.7058005951368</v>
      </c>
      <c r="E19" s="14">
        <v>18.955049221911899</v>
      </c>
      <c r="F19" s="20">
        <f t="shared" si="0"/>
        <v>18.892011097312736</v>
      </c>
    </row>
    <row r="20" spans="1:6" x14ac:dyDescent="0.25">
      <c r="A20" s="30"/>
      <c r="B20" s="21" t="s">
        <v>9</v>
      </c>
      <c r="C20" s="14"/>
      <c r="D20" s="14">
        <v>20.625141822836099</v>
      </c>
      <c r="E20" s="14">
        <v>20.503241918013</v>
      </c>
      <c r="F20" s="20">
        <f t="shared" si="0"/>
        <v>20.564191870424551</v>
      </c>
    </row>
    <row r="21" spans="1:6" x14ac:dyDescent="0.25">
      <c r="A21" s="30"/>
      <c r="B21" s="21" t="s">
        <v>10</v>
      </c>
      <c r="C21" s="14">
        <v>21.324971712828599</v>
      </c>
      <c r="D21" s="14">
        <v>21.132360032972599</v>
      </c>
      <c r="E21" s="14"/>
      <c r="F21" s="20">
        <f t="shared" si="0"/>
        <v>21.228665872900599</v>
      </c>
    </row>
    <row r="22" spans="1:6" x14ac:dyDescent="0.25">
      <c r="A22" s="30"/>
      <c r="B22" s="21" t="s">
        <v>17</v>
      </c>
      <c r="C22" s="14">
        <v>22.4544243402134</v>
      </c>
      <c r="D22" s="14">
        <v>21.888042966095998</v>
      </c>
      <c r="E22" s="14">
        <v>20.911302329533601</v>
      </c>
      <c r="F22" s="20">
        <f t="shared" si="0"/>
        <v>21.751256545280999</v>
      </c>
    </row>
    <row r="23" spans="1:6" x14ac:dyDescent="0.25">
      <c r="A23" s="30"/>
      <c r="B23" s="21" t="s">
        <v>18</v>
      </c>
      <c r="C23" s="14">
        <v>21.400798135744601</v>
      </c>
      <c r="D23" s="14">
        <v>21.1322295633714</v>
      </c>
      <c r="E23" s="14">
        <v>21.150964074917098</v>
      </c>
      <c r="F23" s="20">
        <f t="shared" si="0"/>
        <v>21.227997258011033</v>
      </c>
    </row>
    <row r="24" spans="1:6" x14ac:dyDescent="0.25">
      <c r="A24" s="31"/>
      <c r="B24" s="22" t="s">
        <v>22</v>
      </c>
      <c r="C24" s="14">
        <v>21.418787359741302</v>
      </c>
      <c r="D24" s="14">
        <v>20.999712529955001</v>
      </c>
      <c r="E24" s="14">
        <v>20.8999076174469</v>
      </c>
      <c r="F24" s="20">
        <f t="shared" si="0"/>
        <v>21.106135835714401</v>
      </c>
    </row>
    <row r="25" spans="1:6" x14ac:dyDescent="0.25">
      <c r="A25" s="26" t="s">
        <v>19</v>
      </c>
      <c r="B25" s="19" t="s">
        <v>8</v>
      </c>
      <c r="C25" s="14">
        <v>19.297305261315099</v>
      </c>
      <c r="D25" s="14">
        <v>19.196065667634599</v>
      </c>
      <c r="E25" s="14">
        <v>19.1583737869489</v>
      </c>
      <c r="F25" s="20">
        <f t="shared" si="0"/>
        <v>19.217248238632866</v>
      </c>
    </row>
    <row r="26" spans="1:6" x14ac:dyDescent="0.25">
      <c r="A26" s="27"/>
      <c r="B26" s="21" t="s">
        <v>9</v>
      </c>
      <c r="C26" s="14">
        <v>19.598886938879701</v>
      </c>
      <c r="D26" s="14">
        <v>19.201014654771299</v>
      </c>
      <c r="E26" s="14">
        <v>19.116829276285198</v>
      </c>
      <c r="F26" s="20">
        <f t="shared" si="0"/>
        <v>19.3055769566454</v>
      </c>
    </row>
    <row r="27" spans="1:6" x14ac:dyDescent="0.25">
      <c r="A27" s="27"/>
      <c r="B27" s="21" t="s">
        <v>10</v>
      </c>
      <c r="C27" s="14">
        <v>20.7167593330466</v>
      </c>
      <c r="D27" s="14">
        <v>20.1781205787541</v>
      </c>
      <c r="E27" s="14">
        <v>20.088289528627101</v>
      </c>
      <c r="F27" s="20">
        <f t="shared" si="0"/>
        <v>20.327723146809266</v>
      </c>
    </row>
    <row r="28" spans="1:6" x14ac:dyDescent="0.25">
      <c r="A28" s="27"/>
      <c r="B28" s="21" t="s">
        <v>16</v>
      </c>
      <c r="C28" s="14">
        <v>22.974249858630799</v>
      </c>
      <c r="D28" s="14"/>
      <c r="E28" s="14">
        <v>22.8717641935913</v>
      </c>
      <c r="F28" s="20">
        <f t="shared" si="0"/>
        <v>22.923007026111051</v>
      </c>
    </row>
    <row r="29" spans="1:6" x14ac:dyDescent="0.25">
      <c r="A29" s="27"/>
      <c r="B29" s="21" t="s">
        <v>17</v>
      </c>
      <c r="C29" s="14">
        <v>22.973059150177999</v>
      </c>
      <c r="D29" s="14">
        <v>22.3187011967755</v>
      </c>
      <c r="E29" s="14">
        <v>22.1333137592569</v>
      </c>
      <c r="F29" s="20">
        <f t="shared" si="0"/>
        <v>22.475024702070129</v>
      </c>
    </row>
    <row r="30" spans="1:6" x14ac:dyDescent="0.25">
      <c r="A30" s="27"/>
      <c r="B30" s="21" t="s">
        <v>18</v>
      </c>
      <c r="C30" s="14">
        <v>21.009693595419801</v>
      </c>
      <c r="D30" s="14">
        <v>21.327356488777699</v>
      </c>
      <c r="E30" s="14">
        <v>21.085202415341701</v>
      </c>
      <c r="F30" s="20">
        <f t="shared" si="0"/>
        <v>21.140750833179734</v>
      </c>
    </row>
    <row r="31" spans="1:6" x14ac:dyDescent="0.25">
      <c r="A31" s="27"/>
      <c r="B31" s="22" t="s">
        <v>22</v>
      </c>
      <c r="C31" s="14">
        <v>20.4077837013701</v>
      </c>
      <c r="D31" s="14">
        <v>20.248916958310399</v>
      </c>
      <c r="E31" s="14">
        <v>20.374625975985602</v>
      </c>
      <c r="F31" s="20">
        <f t="shared" si="0"/>
        <v>20.343775545222034</v>
      </c>
    </row>
    <row r="32" spans="1:6" x14ac:dyDescent="0.25">
      <c r="A32" s="27"/>
      <c r="B32" s="21" t="s">
        <v>24</v>
      </c>
      <c r="C32" s="14">
        <v>20.979448559137801</v>
      </c>
      <c r="D32" s="14">
        <v>20.4252204227653</v>
      </c>
      <c r="E32" s="14">
        <v>20.483644128293999</v>
      </c>
      <c r="F32" s="20">
        <f t="shared" si="0"/>
        <v>20.629437703399034</v>
      </c>
    </row>
    <row r="33" spans="1:6" x14ac:dyDescent="0.25">
      <c r="A33" s="26" t="s">
        <v>23</v>
      </c>
      <c r="B33" s="19" t="s">
        <v>8</v>
      </c>
      <c r="C33" s="14">
        <v>18.9577001883344</v>
      </c>
      <c r="D33" s="14">
        <v>18.942203064562001</v>
      </c>
      <c r="E33" s="14">
        <v>18.308920384956501</v>
      </c>
      <c r="F33" s="20">
        <f t="shared" ref="F33:F38" si="1">AVERAGE(C33:E33)</f>
        <v>18.736274545950966</v>
      </c>
    </row>
    <row r="34" spans="1:6" x14ac:dyDescent="0.25">
      <c r="A34" s="28"/>
      <c r="B34" s="21" t="s">
        <v>9</v>
      </c>
      <c r="C34" s="14">
        <v>21.2316247720556</v>
      </c>
      <c r="D34" s="14">
        <v>21.215383290201999</v>
      </c>
      <c r="E34" s="14"/>
      <c r="F34" s="20">
        <f t="shared" si="1"/>
        <v>21.223504031128797</v>
      </c>
    </row>
    <row r="35" spans="1:6" x14ac:dyDescent="0.25">
      <c r="A35" s="28"/>
      <c r="B35" s="21" t="s">
        <v>10</v>
      </c>
      <c r="C35" s="14"/>
      <c r="D35" s="14">
        <v>20.2594958945431</v>
      </c>
      <c r="E35" s="14">
        <v>20.05383667033</v>
      </c>
      <c r="F35" s="20">
        <f t="shared" si="1"/>
        <v>20.15666628243655</v>
      </c>
    </row>
    <row r="36" spans="1:6" x14ac:dyDescent="0.25">
      <c r="A36" s="28"/>
      <c r="B36" s="21" t="s">
        <v>16</v>
      </c>
      <c r="C36" s="14">
        <v>22.0524746544551</v>
      </c>
      <c r="D36" s="14">
        <v>19.879904063920002</v>
      </c>
      <c r="E36" s="14">
        <v>20.243868414154399</v>
      </c>
      <c r="F36" s="20">
        <f t="shared" si="1"/>
        <v>20.725415710843169</v>
      </c>
    </row>
    <row r="37" spans="1:6" x14ac:dyDescent="0.25">
      <c r="A37" s="28"/>
      <c r="B37" s="21" t="s">
        <v>18</v>
      </c>
      <c r="C37" s="14">
        <v>22.2365347322778</v>
      </c>
      <c r="D37" s="14">
        <v>22.348978792060802</v>
      </c>
      <c r="E37" s="14">
        <v>22.186609432920701</v>
      </c>
      <c r="F37" s="20">
        <f t="shared" si="1"/>
        <v>22.257374319086434</v>
      </c>
    </row>
    <row r="38" spans="1:6" x14ac:dyDescent="0.25">
      <c r="A38" s="28"/>
      <c r="B38" s="22" t="s">
        <v>22</v>
      </c>
      <c r="C38" s="14"/>
      <c r="D38" s="14">
        <v>20.349930442552498</v>
      </c>
      <c r="E38" s="14">
        <v>20.493451137069801</v>
      </c>
      <c r="F38" s="20">
        <f t="shared" si="1"/>
        <v>20.421690789811151</v>
      </c>
    </row>
  </sheetData>
  <mergeCells count="6">
    <mergeCell ref="A33:A38"/>
    <mergeCell ref="A25:A32"/>
    <mergeCell ref="A2:A7"/>
    <mergeCell ref="A8:A13"/>
    <mergeCell ref="A14:A18"/>
    <mergeCell ref="A19:A24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E3ED-5340-5143-B762-D962135C137F}">
  <dimension ref="A1:L42"/>
  <sheetViews>
    <sheetView zoomScale="25" zoomScaleNormal="25" workbookViewId="0">
      <selection activeCell="P18" sqref="P18"/>
    </sheetView>
  </sheetViews>
  <sheetFormatPr baseColWidth="10" defaultRowHeight="15" x14ac:dyDescent="0.25"/>
  <cols>
    <col min="5" max="5" width="13.85546875" customWidth="1"/>
    <col min="6" max="6" width="16.85546875" customWidth="1"/>
    <col min="7" max="7" width="18.85546875" customWidth="1"/>
    <col min="9" max="9" width="21.140625" customWidth="1"/>
    <col min="11" max="11" width="12.42578125" customWidth="1"/>
  </cols>
  <sheetData>
    <row r="1" spans="1:12" ht="15.75" x14ac:dyDescent="0.25">
      <c r="C1" s="4" t="s">
        <v>0</v>
      </c>
      <c r="D1" s="5" t="s">
        <v>2</v>
      </c>
      <c r="E1" s="5" t="s">
        <v>11</v>
      </c>
      <c r="F1" s="6" t="s">
        <v>1</v>
      </c>
      <c r="G1" s="9" t="s">
        <v>12</v>
      </c>
      <c r="H1" s="2" t="s">
        <v>3</v>
      </c>
      <c r="I1" s="1" t="s">
        <v>4</v>
      </c>
      <c r="J1" s="1" t="s">
        <v>5</v>
      </c>
      <c r="K1" s="11" t="s">
        <v>6</v>
      </c>
    </row>
    <row r="2" spans="1:12" x14ac:dyDescent="0.25">
      <c r="A2" s="29" t="s">
        <v>7</v>
      </c>
      <c r="B2" s="19" t="s">
        <v>8</v>
      </c>
      <c r="C2" s="14">
        <v>24.310129591271199</v>
      </c>
      <c r="D2" s="14">
        <v>23.133774769901301</v>
      </c>
      <c r="E2" s="14">
        <v>22.569127830812999</v>
      </c>
      <c r="F2" s="7">
        <f>AVERAGE(C2:E2)</f>
        <v>23.337677397328502</v>
      </c>
      <c r="G2" s="20">
        <f>GAPDH!F2</f>
        <v>19.880113003773932</v>
      </c>
      <c r="H2" s="12">
        <f>(F2-G2)</f>
        <v>3.4575643935545699</v>
      </c>
      <c r="I2" s="8">
        <f t="shared" ref="I2:I37" si="0">(H2-$H$42)</f>
        <v>-0.23389902751125513</v>
      </c>
      <c r="J2" s="8">
        <f>POWER(2,-I2)</f>
        <v>1.176008939960937</v>
      </c>
      <c r="K2" s="3">
        <f t="shared" ref="K2:K37" si="1">(J2/$J$42)</f>
        <v>1.06197022183523</v>
      </c>
      <c r="L2" s="8"/>
    </row>
    <row r="3" spans="1:12" x14ac:dyDescent="0.25">
      <c r="A3" s="30"/>
      <c r="B3" s="21" t="s">
        <v>9</v>
      </c>
      <c r="C3" s="14">
        <v>24.453676097553</v>
      </c>
      <c r="D3" s="14">
        <v>23.3520244834341</v>
      </c>
      <c r="E3" s="14">
        <v>22.7886282277452</v>
      </c>
      <c r="F3" s="7">
        <f t="shared" ref="F3:F18" si="2">AVERAGE(C3:E3)</f>
        <v>23.531442936244101</v>
      </c>
      <c r="G3" s="20">
        <f>GAPDH!F3</f>
        <v>18.890015985426199</v>
      </c>
      <c r="H3" s="12">
        <f t="shared" ref="H3:H7" si="3">(F3-G3)</f>
        <v>4.6414269508179018</v>
      </c>
      <c r="I3" s="8">
        <f t="shared" si="0"/>
        <v>0.94996352975207676</v>
      </c>
      <c r="J3" s="8">
        <f t="shared" ref="J3:J37" si="4">POWER(2,-I3)</f>
        <v>0.51764554744624991</v>
      </c>
      <c r="K3" s="3">
        <f t="shared" si="1"/>
        <v>0.46744896078066644</v>
      </c>
      <c r="L3" s="8"/>
    </row>
    <row r="4" spans="1:12" x14ac:dyDescent="0.25">
      <c r="A4" s="30"/>
      <c r="B4" s="21" t="s">
        <v>10</v>
      </c>
      <c r="C4" s="14">
        <v>25.958775376732</v>
      </c>
      <c r="D4" s="14">
        <v>25.270081295446399</v>
      </c>
      <c r="E4" s="14"/>
      <c r="F4" s="7">
        <f>AVERAGE(C4:E4)</f>
        <v>25.614428336089198</v>
      </c>
      <c r="G4" s="20">
        <f>GAPDH!F4</f>
        <v>20.952034015858999</v>
      </c>
      <c r="H4" s="12">
        <f t="shared" si="3"/>
        <v>4.6623943202301987</v>
      </c>
      <c r="I4" s="8">
        <f t="shared" si="0"/>
        <v>0.9709308991643737</v>
      </c>
      <c r="J4" s="8">
        <f t="shared" si="4"/>
        <v>0.51017676500074327</v>
      </c>
      <c r="K4" s="3">
        <f t="shared" si="1"/>
        <v>0.4607044333532157</v>
      </c>
      <c r="L4" s="8"/>
    </row>
    <row r="5" spans="1:12" x14ac:dyDescent="0.25">
      <c r="A5" s="30"/>
      <c r="B5" s="21" t="s">
        <v>16</v>
      </c>
      <c r="C5" s="14">
        <v>23.893288807815999</v>
      </c>
      <c r="D5" s="14">
        <v>23.363422622624999</v>
      </c>
      <c r="E5" s="14">
        <v>23.347389041992699</v>
      </c>
      <c r="F5" s="7">
        <f t="shared" si="2"/>
        <v>23.5347001574779</v>
      </c>
      <c r="G5" s="20">
        <f>GAPDH!F5</f>
        <v>20.27004437357235</v>
      </c>
      <c r="H5" s="12">
        <f t="shared" si="3"/>
        <v>3.2646557839055497</v>
      </c>
      <c r="I5" s="8">
        <f t="shared" si="0"/>
        <v>-0.42680763716027537</v>
      </c>
      <c r="J5" s="8">
        <f t="shared" si="4"/>
        <v>1.3442557448413477</v>
      </c>
      <c r="K5" s="3">
        <f t="shared" si="1"/>
        <v>1.2139019722076834</v>
      </c>
      <c r="L5" s="8"/>
    </row>
    <row r="6" spans="1:12" x14ac:dyDescent="0.25">
      <c r="A6" s="30"/>
      <c r="B6" s="21" t="s">
        <v>17</v>
      </c>
      <c r="C6" s="14"/>
      <c r="D6" s="14">
        <v>23.672019723023698</v>
      </c>
      <c r="E6" s="14">
        <v>23.8907274160171</v>
      </c>
      <c r="F6" s="7">
        <f t="shared" si="2"/>
        <v>23.781373569520397</v>
      </c>
      <c r="G6" s="20">
        <f>GAPDH!F6</f>
        <v>20.754525780262398</v>
      </c>
      <c r="H6" s="12">
        <f t="shared" si="3"/>
        <v>3.0268477892579995</v>
      </c>
      <c r="I6" s="8">
        <f t="shared" si="0"/>
        <v>-0.66461563180782557</v>
      </c>
      <c r="J6" s="8">
        <f t="shared" si="4"/>
        <v>1.5851458964771967</v>
      </c>
      <c r="K6" s="3">
        <f t="shared" si="1"/>
        <v>1.431432774124157</v>
      </c>
      <c r="L6" s="8"/>
    </row>
    <row r="7" spans="1:12" x14ac:dyDescent="0.25">
      <c r="A7" s="30"/>
      <c r="B7" s="21" t="s">
        <v>18</v>
      </c>
      <c r="C7" s="14">
        <v>24.006482184472802</v>
      </c>
      <c r="D7" s="14">
        <v>23.098811988667599</v>
      </c>
      <c r="E7" s="14">
        <v>22.618610788292798</v>
      </c>
      <c r="F7" s="7">
        <f t="shared" si="2"/>
        <v>23.241301653811064</v>
      </c>
      <c r="G7" s="20">
        <f>GAPDH!F7</f>
        <v>20.145410365182332</v>
      </c>
      <c r="H7" s="12">
        <f t="shared" si="3"/>
        <v>3.0958912886287315</v>
      </c>
      <c r="I7" s="8">
        <f t="shared" si="0"/>
        <v>-0.5955721324370935</v>
      </c>
      <c r="J7" s="8">
        <f t="shared" si="4"/>
        <v>1.5110717154666105</v>
      </c>
      <c r="K7" s="3">
        <f t="shared" si="1"/>
        <v>1.3645416376990476</v>
      </c>
      <c r="L7" s="8"/>
    </row>
    <row r="8" spans="1:12" x14ac:dyDescent="0.25">
      <c r="A8" s="29" t="s">
        <v>15</v>
      </c>
      <c r="B8" s="19" t="s">
        <v>8</v>
      </c>
      <c r="C8" s="14">
        <v>17.143113022364702</v>
      </c>
      <c r="D8" s="14">
        <v>16.5766378687943</v>
      </c>
      <c r="E8" s="14">
        <v>15.8914315249308</v>
      </c>
      <c r="F8" s="7">
        <f t="shared" si="2"/>
        <v>16.537060805363268</v>
      </c>
      <c r="G8" s="20">
        <f>GAPDH!F8</f>
        <v>18.645834194685303</v>
      </c>
      <c r="H8" s="12">
        <f t="shared" ref="H8:H37" si="5">(F8-G8)</f>
        <v>-2.1087733893220353</v>
      </c>
      <c r="I8" s="8">
        <f t="shared" si="0"/>
        <v>-5.8002368103878599</v>
      </c>
      <c r="J8" s="8">
        <f t="shared" si="4"/>
        <v>55.724382148499096</v>
      </c>
      <c r="K8" s="3">
        <f t="shared" si="1"/>
        <v>50.32073520957961</v>
      </c>
    </row>
    <row r="9" spans="1:12" x14ac:dyDescent="0.25">
      <c r="A9" s="30"/>
      <c r="B9" s="21" t="s">
        <v>9</v>
      </c>
      <c r="C9" s="14">
        <v>18.035730112724799</v>
      </c>
      <c r="D9" s="14">
        <v>17.483565897568099</v>
      </c>
      <c r="E9" s="14">
        <v>16.458051538645599</v>
      </c>
      <c r="F9" s="7">
        <f t="shared" si="2"/>
        <v>17.325782516312831</v>
      </c>
      <c r="G9" s="20">
        <f>GAPDH!F9</f>
        <v>20.081909751896802</v>
      </c>
      <c r="H9" s="12">
        <f t="shared" si="5"/>
        <v>-2.7561272355839712</v>
      </c>
      <c r="I9" s="8">
        <f t="shared" si="0"/>
        <v>-6.4475906566497958</v>
      </c>
      <c r="J9" s="8">
        <f t="shared" si="4"/>
        <v>87.28069331463135</v>
      </c>
      <c r="K9" s="3">
        <f t="shared" si="1"/>
        <v>78.817000527521984</v>
      </c>
    </row>
    <row r="10" spans="1:12" x14ac:dyDescent="0.25">
      <c r="A10" s="30"/>
      <c r="B10" s="21" t="s">
        <v>10</v>
      </c>
      <c r="C10" s="14"/>
      <c r="D10" s="14">
        <v>17.666748015235001</v>
      </c>
      <c r="E10" s="14">
        <v>17.076823857232299</v>
      </c>
      <c r="F10" s="7">
        <f t="shared" si="2"/>
        <v>17.37178593623365</v>
      </c>
      <c r="G10" s="20">
        <f>GAPDH!F10</f>
        <v>20.786735832016049</v>
      </c>
      <c r="H10" s="12">
        <f t="shared" si="5"/>
        <v>-3.4149498957823994</v>
      </c>
      <c r="I10" s="8">
        <f t="shared" si="0"/>
        <v>-7.106413316848224</v>
      </c>
      <c r="J10" s="8">
        <f t="shared" si="4"/>
        <v>137.79820804494028</v>
      </c>
      <c r="K10" s="3">
        <f t="shared" si="1"/>
        <v>124.43578326100416</v>
      </c>
    </row>
    <row r="11" spans="1:12" x14ac:dyDescent="0.25">
      <c r="A11" s="30"/>
      <c r="B11" s="21" t="s">
        <v>16</v>
      </c>
      <c r="C11" s="14">
        <v>19.1411505509768</v>
      </c>
      <c r="D11" s="14">
        <v>18.0199406742619</v>
      </c>
      <c r="E11" s="14">
        <v>17.464493437337701</v>
      </c>
      <c r="F11" s="7">
        <f t="shared" si="2"/>
        <v>18.208528220858799</v>
      </c>
      <c r="G11" s="20">
        <f>GAPDH!F11</f>
        <v>20.060528621664364</v>
      </c>
      <c r="H11" s="12">
        <f t="shared" si="5"/>
        <v>-1.8520004008055651</v>
      </c>
      <c r="I11" s="8">
        <f t="shared" si="0"/>
        <v>-5.5434638218713896</v>
      </c>
      <c r="J11" s="8">
        <f t="shared" si="4"/>
        <v>46.63896351325937</v>
      </c>
      <c r="K11" s="3">
        <f t="shared" si="1"/>
        <v>42.116338358776801</v>
      </c>
    </row>
    <row r="12" spans="1:12" x14ac:dyDescent="0.25">
      <c r="A12" s="30"/>
      <c r="B12" s="21" t="s">
        <v>17</v>
      </c>
      <c r="C12" s="14"/>
      <c r="D12" s="14">
        <v>17.804283829011101</v>
      </c>
      <c r="E12" s="14">
        <v>16.9979024420218</v>
      </c>
      <c r="F12" s="7">
        <f t="shared" si="2"/>
        <v>17.401093135516451</v>
      </c>
      <c r="G12" s="20">
        <f>GAPDH!F12</f>
        <v>21.238924802909299</v>
      </c>
      <c r="H12" s="12">
        <f t="shared" si="5"/>
        <v>-3.8378316673928481</v>
      </c>
      <c r="I12" s="8">
        <f t="shared" si="0"/>
        <v>-7.5292950884586727</v>
      </c>
      <c r="J12" s="8">
        <f t="shared" si="4"/>
        <v>184.73265322186094</v>
      </c>
      <c r="K12" s="3">
        <f t="shared" si="1"/>
        <v>166.81895014228951</v>
      </c>
    </row>
    <row r="13" spans="1:12" x14ac:dyDescent="0.25">
      <c r="A13" s="31"/>
      <c r="B13" s="22" t="s">
        <v>22</v>
      </c>
      <c r="C13" s="14">
        <v>18.304430325385699</v>
      </c>
      <c r="D13" s="14">
        <v>17.218842215366301</v>
      </c>
      <c r="E13" s="14">
        <v>15.4886544821277</v>
      </c>
      <c r="F13" s="7">
        <f t="shared" si="2"/>
        <v>17.003975674293233</v>
      </c>
      <c r="G13" s="20">
        <f>GAPDH!F13</f>
        <v>20.442502804186251</v>
      </c>
      <c r="H13" s="12">
        <f t="shared" si="5"/>
        <v>-3.4385271298930178</v>
      </c>
      <c r="I13" s="8">
        <f t="shared" si="0"/>
        <v>-7.1299905509588424</v>
      </c>
      <c r="J13" s="8">
        <f t="shared" si="4"/>
        <v>140.06867636789607</v>
      </c>
      <c r="K13" s="3">
        <f t="shared" si="1"/>
        <v>126.48608208669108</v>
      </c>
    </row>
    <row r="14" spans="1:12" x14ac:dyDescent="0.25">
      <c r="A14" s="29" t="s">
        <v>21</v>
      </c>
      <c r="B14" s="19" t="s">
        <v>8</v>
      </c>
      <c r="C14" s="14">
        <v>24.246165745973499</v>
      </c>
      <c r="D14" s="14">
        <v>24.244845169333701</v>
      </c>
      <c r="E14" s="14"/>
      <c r="F14" s="7">
        <f t="shared" si="2"/>
        <v>24.2455054576536</v>
      </c>
      <c r="G14" s="20">
        <f>GAPDH!F14</f>
        <v>33.702315575532673</v>
      </c>
      <c r="H14" s="12">
        <f t="shared" si="5"/>
        <v>-9.4568101178790727</v>
      </c>
      <c r="I14" s="8">
        <f t="shared" si="0"/>
        <v>-13.148273538944897</v>
      </c>
      <c r="J14" s="8">
        <f t="shared" si="4"/>
        <v>9078.7221812111493</v>
      </c>
      <c r="K14" s="3">
        <f t="shared" si="1"/>
        <v>8198.3497583627886</v>
      </c>
    </row>
    <row r="15" spans="1:12" x14ac:dyDescent="0.25">
      <c r="A15" s="30"/>
      <c r="B15" s="21" t="s">
        <v>9</v>
      </c>
      <c r="C15" s="14">
        <v>21.320221762935098</v>
      </c>
      <c r="D15" s="14">
        <v>19.741155864630699</v>
      </c>
      <c r="E15" s="14">
        <v>19.390479649183899</v>
      </c>
      <c r="F15" s="7">
        <f t="shared" si="2"/>
        <v>20.150619092249897</v>
      </c>
      <c r="G15" s="20">
        <f>GAPDH!F15</f>
        <v>22.521665880276032</v>
      </c>
      <c r="H15" s="12">
        <f t="shared" si="5"/>
        <v>-2.3710467880261348</v>
      </c>
      <c r="I15" s="8">
        <f t="shared" si="0"/>
        <v>-6.0625102090919594</v>
      </c>
      <c r="J15" s="8">
        <f t="shared" si="4"/>
        <v>66.83399501798452</v>
      </c>
      <c r="K15" s="3">
        <f t="shared" si="1"/>
        <v>60.353038232635591</v>
      </c>
    </row>
    <row r="16" spans="1:12" x14ac:dyDescent="0.25">
      <c r="A16" s="30"/>
      <c r="B16" s="21" t="s">
        <v>10</v>
      </c>
      <c r="C16" s="14">
        <v>21.602132782798002</v>
      </c>
      <c r="D16" s="14">
        <v>21.1587508877803</v>
      </c>
      <c r="E16" s="14"/>
      <c r="F16" s="7">
        <f t="shared" si="2"/>
        <v>21.380441835289151</v>
      </c>
      <c r="G16" s="20">
        <f>GAPDH!F16</f>
        <v>20.784666424968396</v>
      </c>
      <c r="H16" s="12">
        <f t="shared" si="5"/>
        <v>0.59577541032075487</v>
      </c>
      <c r="I16" s="8">
        <f t="shared" si="0"/>
        <v>-3.0956880107450702</v>
      </c>
      <c r="J16" s="8">
        <f t="shared" si="4"/>
        <v>8.548599057002777</v>
      </c>
      <c r="K16" s="3">
        <f t="shared" si="1"/>
        <v>7.7196331834409611</v>
      </c>
    </row>
    <row r="17" spans="1:11" x14ac:dyDescent="0.25">
      <c r="A17" s="30"/>
      <c r="B17" s="21" t="s">
        <v>16</v>
      </c>
      <c r="C17" s="14">
        <v>21.427624450111999</v>
      </c>
      <c r="D17" s="14">
        <v>20.380821678941299</v>
      </c>
      <c r="E17" s="14">
        <v>19.7707531554837</v>
      </c>
      <c r="F17" s="7">
        <f t="shared" si="2"/>
        <v>20.526399761512334</v>
      </c>
      <c r="G17" s="20">
        <f>GAPDH!F17</f>
        <v>21.597096689038967</v>
      </c>
      <c r="H17" s="12">
        <f t="shared" si="5"/>
        <v>-1.0706969275266331</v>
      </c>
      <c r="I17" s="8">
        <f t="shared" si="0"/>
        <v>-4.7621603485924577</v>
      </c>
      <c r="J17" s="8">
        <f t="shared" si="4"/>
        <v>27.136454786665098</v>
      </c>
      <c r="K17" s="3">
        <f t="shared" si="1"/>
        <v>24.505006663107224</v>
      </c>
    </row>
    <row r="18" spans="1:11" x14ac:dyDescent="0.25">
      <c r="A18" s="30"/>
      <c r="B18" s="21" t="s">
        <v>18</v>
      </c>
      <c r="C18" s="14"/>
      <c r="D18" s="14">
        <v>26.979820251678699</v>
      </c>
      <c r="E18" s="14">
        <v>26.273743414394499</v>
      </c>
      <c r="F18" s="7">
        <f t="shared" si="2"/>
        <v>26.626781833036599</v>
      </c>
      <c r="G18" s="20">
        <f>GAPDH!F18</f>
        <v>35.996443853511899</v>
      </c>
      <c r="H18" s="12">
        <f t="shared" si="5"/>
        <v>-9.3696620204752996</v>
      </c>
      <c r="I18" s="8">
        <f t="shared" si="0"/>
        <v>-13.061125441541124</v>
      </c>
      <c r="J18" s="8">
        <f t="shared" si="4"/>
        <v>8546.5440431994175</v>
      </c>
      <c r="K18" s="3">
        <f t="shared" si="1"/>
        <v>7717.7774463028563</v>
      </c>
    </row>
    <row r="19" spans="1:11" ht="15" customHeight="1" x14ac:dyDescent="0.25">
      <c r="A19" s="29" t="s">
        <v>20</v>
      </c>
      <c r="B19" s="24" t="s">
        <v>8</v>
      </c>
      <c r="C19" s="14">
        <v>16.558427451476302</v>
      </c>
      <c r="D19" s="14">
        <v>16.090460348114199</v>
      </c>
      <c r="E19" s="14">
        <v>16.056806055836802</v>
      </c>
      <c r="F19" s="7">
        <f t="shared" ref="F19:F37" si="6">AVERAGE(C19:E19)</f>
        <v>16.235231285142433</v>
      </c>
      <c r="G19" s="20">
        <f>GAPDH!F19</f>
        <v>18.892011097312736</v>
      </c>
      <c r="H19" s="12">
        <f t="shared" si="5"/>
        <v>-2.6567798121703028</v>
      </c>
      <c r="I19" s="8">
        <f t="shared" si="0"/>
        <v>-6.3482432332361274</v>
      </c>
      <c r="J19" s="8">
        <f t="shared" si="4"/>
        <v>81.472610691261067</v>
      </c>
      <c r="K19" s="3">
        <f t="shared" si="1"/>
        <v>73.572133263007174</v>
      </c>
    </row>
    <row r="20" spans="1:11" ht="15" customHeight="1" x14ac:dyDescent="0.25">
      <c r="A20" s="30"/>
      <c r="B20" s="24" t="s">
        <v>9</v>
      </c>
      <c r="C20" s="14">
        <v>18.057761950301199</v>
      </c>
      <c r="D20" s="14">
        <v>17.193735900750401</v>
      </c>
      <c r="E20" s="14">
        <v>16.889133340231599</v>
      </c>
      <c r="F20" s="7">
        <f t="shared" si="6"/>
        <v>17.380210397094398</v>
      </c>
      <c r="G20" s="20">
        <f>GAPDH!F20</f>
        <v>20.564191870424551</v>
      </c>
      <c r="H20" s="12">
        <f t="shared" si="5"/>
        <v>-3.183981473330153</v>
      </c>
      <c r="I20" s="8">
        <f t="shared" si="0"/>
        <v>-6.8754448943959776</v>
      </c>
      <c r="J20" s="8">
        <f t="shared" si="4"/>
        <v>117.41271936493855</v>
      </c>
      <c r="K20" s="3">
        <f t="shared" si="1"/>
        <v>106.0270950273585</v>
      </c>
    </row>
    <row r="21" spans="1:11" ht="15" customHeight="1" x14ac:dyDescent="0.25">
      <c r="A21" s="30"/>
      <c r="B21" s="24" t="s">
        <v>10</v>
      </c>
      <c r="C21" s="14">
        <v>18.581083218152099</v>
      </c>
      <c r="D21" s="14">
        <v>17.726127014117701</v>
      </c>
      <c r="E21" s="14">
        <v>16.8604471468371</v>
      </c>
      <c r="F21" s="7">
        <f t="shared" si="6"/>
        <v>17.7225524597023</v>
      </c>
      <c r="G21" s="20">
        <f>GAPDH!F21</f>
        <v>21.228665872900599</v>
      </c>
      <c r="H21" s="12">
        <f t="shared" si="5"/>
        <v>-3.5061134131982996</v>
      </c>
      <c r="I21" s="8">
        <f t="shared" si="0"/>
        <v>-7.1975768342641242</v>
      </c>
      <c r="J21" s="8">
        <f t="shared" si="4"/>
        <v>146.78663789643315</v>
      </c>
      <c r="K21" s="3">
        <f t="shared" si="1"/>
        <v>132.55259642371476</v>
      </c>
    </row>
    <row r="22" spans="1:11" ht="15" customHeight="1" x14ac:dyDescent="0.25">
      <c r="A22" s="30"/>
      <c r="B22" s="24" t="s">
        <v>17</v>
      </c>
      <c r="C22" s="14">
        <v>19.047065309240701</v>
      </c>
      <c r="D22" s="14">
        <v>18.721774407782299</v>
      </c>
      <c r="E22" s="14"/>
      <c r="F22" s="7">
        <f t="shared" si="6"/>
        <v>18.8844198585115</v>
      </c>
      <c r="G22" s="20">
        <f>GAPDH!F22</f>
        <v>21.751256545280999</v>
      </c>
      <c r="H22" s="12">
        <f t="shared" si="5"/>
        <v>-2.8668366867694992</v>
      </c>
      <c r="I22" s="8">
        <f t="shared" si="0"/>
        <v>-6.5583001078353238</v>
      </c>
      <c r="J22" s="8">
        <f t="shared" si="4"/>
        <v>94.242121282283847</v>
      </c>
      <c r="K22" s="3">
        <f t="shared" si="1"/>
        <v>85.103372128866667</v>
      </c>
    </row>
    <row r="23" spans="1:11" x14ac:dyDescent="0.25">
      <c r="A23" s="30"/>
      <c r="B23" s="21" t="s">
        <v>18</v>
      </c>
      <c r="C23" s="14">
        <v>18.273068601533101</v>
      </c>
      <c r="D23" s="14">
        <v>17.866607276332299</v>
      </c>
      <c r="E23" s="14">
        <v>17.161029621167</v>
      </c>
      <c r="F23" s="7">
        <f t="shared" si="6"/>
        <v>17.766901833010802</v>
      </c>
      <c r="G23" s="20">
        <f>GAPDH!F23</f>
        <v>21.227997258011033</v>
      </c>
      <c r="H23" s="12">
        <f t="shared" si="5"/>
        <v>-3.4610954250002308</v>
      </c>
      <c r="I23" s="8">
        <f t="shared" si="0"/>
        <v>-7.1525588460660554</v>
      </c>
      <c r="J23" s="8">
        <f t="shared" si="4"/>
        <v>142.27701938751434</v>
      </c>
      <c r="K23" s="3">
        <f t="shared" si="1"/>
        <v>128.48027995946421</v>
      </c>
    </row>
    <row r="24" spans="1:11" x14ac:dyDescent="0.25">
      <c r="A24" s="31"/>
      <c r="B24" s="22" t="s">
        <v>22</v>
      </c>
      <c r="C24" s="14"/>
      <c r="D24" s="14">
        <v>17.1190891428536</v>
      </c>
      <c r="E24" s="14">
        <v>17.090178022083801</v>
      </c>
      <c r="F24" s="7">
        <f t="shared" si="6"/>
        <v>17.104633582468701</v>
      </c>
      <c r="G24" s="20">
        <f>GAPDH!F24</f>
        <v>21.106135835714401</v>
      </c>
      <c r="H24" s="12">
        <f t="shared" si="5"/>
        <v>-4.0015022532457003</v>
      </c>
      <c r="I24" s="8">
        <f t="shared" si="0"/>
        <v>-7.6929656743115249</v>
      </c>
      <c r="J24" s="8">
        <f t="shared" si="4"/>
        <v>206.92521903478325</v>
      </c>
      <c r="K24" s="3">
        <f t="shared" si="1"/>
        <v>186.85948150102638</v>
      </c>
    </row>
    <row r="25" spans="1:11" x14ac:dyDescent="0.25">
      <c r="A25" s="26" t="s">
        <v>19</v>
      </c>
      <c r="B25" s="19" t="s">
        <v>8</v>
      </c>
      <c r="C25" s="14"/>
      <c r="D25" s="14">
        <v>16.908226647443499</v>
      </c>
      <c r="E25" s="14">
        <v>16.9456688510158</v>
      </c>
      <c r="F25" s="7">
        <f t="shared" si="6"/>
        <v>16.926947749229647</v>
      </c>
      <c r="G25" s="20">
        <f>GAPDH!F25</f>
        <v>19.217248238632866</v>
      </c>
      <c r="H25" s="12">
        <f t="shared" si="5"/>
        <v>-2.2903004894032186</v>
      </c>
      <c r="I25" s="8">
        <f t="shared" si="0"/>
        <v>-5.9817639104690432</v>
      </c>
      <c r="J25" s="8">
        <f>POWER(2,-I25)</f>
        <v>63.196112571529881</v>
      </c>
      <c r="K25" s="3">
        <f t="shared" si="1"/>
        <v>57.067924746338242</v>
      </c>
    </row>
    <row r="26" spans="1:11" x14ac:dyDescent="0.25">
      <c r="A26" s="27"/>
      <c r="B26" s="21" t="s">
        <v>9</v>
      </c>
      <c r="C26" s="14"/>
      <c r="D26" s="14">
        <v>17.152722628782001</v>
      </c>
      <c r="E26" s="14">
        <v>16.915776029511498</v>
      </c>
      <c r="F26" s="7">
        <f t="shared" si="6"/>
        <v>17.03424932914675</v>
      </c>
      <c r="G26" s="20">
        <f>GAPDH!F26</f>
        <v>19.3055769566454</v>
      </c>
      <c r="H26" s="12">
        <f t="shared" si="5"/>
        <v>-2.2713276274986498</v>
      </c>
      <c r="I26" s="8">
        <f t="shared" si="0"/>
        <v>-5.9627910485644744</v>
      </c>
      <c r="J26" s="8">
        <f t="shared" si="4"/>
        <v>62.370462353175334</v>
      </c>
      <c r="K26" s="3">
        <f t="shared" si="1"/>
        <v>56.322338623860794</v>
      </c>
    </row>
    <row r="27" spans="1:11" x14ac:dyDescent="0.25">
      <c r="A27" s="27"/>
      <c r="B27" s="21" t="s">
        <v>10</v>
      </c>
      <c r="C27" s="14"/>
      <c r="D27" s="14">
        <v>17.488517633046701</v>
      </c>
      <c r="E27" s="14">
        <v>17.080458352266302</v>
      </c>
      <c r="F27" s="7">
        <f t="shared" si="6"/>
        <v>17.284487992656501</v>
      </c>
      <c r="G27" s="20">
        <f>GAPDH!F27</f>
        <v>20.327723146809266</v>
      </c>
      <c r="H27" s="12">
        <f t="shared" si="5"/>
        <v>-3.0432351541527645</v>
      </c>
      <c r="I27" s="8">
        <f t="shared" si="0"/>
        <v>-6.7346985752185891</v>
      </c>
      <c r="J27" s="8">
        <f t="shared" si="4"/>
        <v>106.49918465875598</v>
      </c>
      <c r="K27" s="3">
        <f t="shared" si="1"/>
        <v>96.171856279499863</v>
      </c>
    </row>
    <row r="28" spans="1:11" x14ac:dyDescent="0.25">
      <c r="A28" s="27"/>
      <c r="B28" s="21" t="s">
        <v>16</v>
      </c>
      <c r="C28" s="14"/>
      <c r="D28" s="14">
        <v>19.664811487595198</v>
      </c>
      <c r="E28" s="14">
        <v>19.261377907935401</v>
      </c>
      <c r="F28" s="7">
        <f t="shared" si="6"/>
        <v>19.4630946977653</v>
      </c>
      <c r="G28" s="20">
        <f>GAPDH!F28</f>
        <v>22.923007026111051</v>
      </c>
      <c r="H28" s="12">
        <f t="shared" si="5"/>
        <v>-3.4599123283457516</v>
      </c>
      <c r="I28" s="8">
        <f t="shared" si="0"/>
        <v>-7.1513757494115762</v>
      </c>
      <c r="J28" s="8">
        <f t="shared" si="4"/>
        <v>142.16039150676292</v>
      </c>
      <c r="K28" s="3">
        <f t="shared" si="1"/>
        <v>128.37496159649507</v>
      </c>
    </row>
    <row r="29" spans="1:11" x14ac:dyDescent="0.25">
      <c r="A29" s="27"/>
      <c r="B29" s="21" t="s">
        <v>17</v>
      </c>
      <c r="C29" s="14">
        <v>20.972920802565898</v>
      </c>
      <c r="D29" s="14">
        <v>20.416878150113099</v>
      </c>
      <c r="E29" s="14">
        <v>19.387710861667799</v>
      </c>
      <c r="F29" s="7">
        <f t="shared" si="6"/>
        <v>20.259169938115601</v>
      </c>
      <c r="G29" s="20">
        <f>GAPDH!F29</f>
        <v>22.475024702070129</v>
      </c>
      <c r="H29" s="12">
        <f t="shared" si="5"/>
        <v>-2.2158547639545283</v>
      </c>
      <c r="I29" s="8">
        <f t="shared" si="0"/>
        <v>-5.9073181850203529</v>
      </c>
      <c r="J29" s="8">
        <f t="shared" si="4"/>
        <v>60.01778557925109</v>
      </c>
      <c r="K29" s="3">
        <f t="shared" si="1"/>
        <v>54.197803179773175</v>
      </c>
    </row>
    <row r="30" spans="1:11" x14ac:dyDescent="0.25">
      <c r="A30" s="27"/>
      <c r="B30" s="21" t="s">
        <v>18</v>
      </c>
      <c r="C30" s="14">
        <v>17.5190027185287</v>
      </c>
      <c r="D30" s="14">
        <v>17.014978012887202</v>
      </c>
      <c r="E30" s="14">
        <v>16.554456569200401</v>
      </c>
      <c r="F30" s="7">
        <f t="shared" si="6"/>
        <v>17.029479100205435</v>
      </c>
      <c r="G30" s="20">
        <f>GAPDH!F30</f>
        <v>21.140750833179734</v>
      </c>
      <c r="H30" s="12">
        <f t="shared" si="5"/>
        <v>-4.1112717329742985</v>
      </c>
      <c r="I30" s="8">
        <f t="shared" si="0"/>
        <v>-7.8027351540401231</v>
      </c>
      <c r="J30" s="8">
        <f t="shared" si="4"/>
        <v>223.28385908224689</v>
      </c>
      <c r="K30" s="3">
        <f t="shared" si="1"/>
        <v>201.63180848750719</v>
      </c>
    </row>
    <row r="31" spans="1:11" x14ac:dyDescent="0.25">
      <c r="A31" s="27"/>
      <c r="B31" s="22" t="s">
        <v>22</v>
      </c>
      <c r="C31" s="14">
        <v>17.471846849170401</v>
      </c>
      <c r="D31" s="14">
        <v>17.107391078392801</v>
      </c>
      <c r="E31" s="14">
        <v>16.713196206084898</v>
      </c>
      <c r="F31" s="7">
        <f t="shared" si="6"/>
        <v>17.097478044549366</v>
      </c>
      <c r="G31" s="20">
        <f>GAPDH!F31</f>
        <v>20.343775545222034</v>
      </c>
      <c r="H31" s="12">
        <f t="shared" si="5"/>
        <v>-3.246297500672668</v>
      </c>
      <c r="I31" s="8">
        <f t="shared" si="0"/>
        <v>-6.9377609217384926</v>
      </c>
      <c r="J31" s="8">
        <f t="shared" si="4"/>
        <v>122.59539017953479</v>
      </c>
      <c r="K31" s="3">
        <f t="shared" si="1"/>
        <v>110.70719726778752</v>
      </c>
    </row>
    <row r="32" spans="1:11" x14ac:dyDescent="0.25">
      <c r="A32" s="26" t="s">
        <v>23</v>
      </c>
      <c r="B32" s="19" t="s">
        <v>8</v>
      </c>
      <c r="C32" s="14">
        <v>25.730596828428901</v>
      </c>
      <c r="D32" s="14">
        <v>24.325414572664201</v>
      </c>
      <c r="E32" s="14">
        <v>23.277659952090701</v>
      </c>
      <c r="F32" s="7">
        <f t="shared" si="6"/>
        <v>24.444557117727935</v>
      </c>
      <c r="G32" s="20">
        <f>GAPDH!F33</f>
        <v>18.736274545950966</v>
      </c>
      <c r="H32" s="12">
        <f t="shared" si="5"/>
        <v>5.7082825717769694</v>
      </c>
      <c r="I32" s="8">
        <f t="shared" si="0"/>
        <v>2.0168191507111444</v>
      </c>
      <c r="J32" s="8">
        <f t="shared" si="4"/>
        <v>0.24710238649661301</v>
      </c>
      <c r="K32" s="3">
        <f t="shared" si="1"/>
        <v>0.22314063038716306</v>
      </c>
    </row>
    <row r="33" spans="1:11" x14ac:dyDescent="0.25">
      <c r="A33" s="28"/>
      <c r="B33" s="21" t="s">
        <v>9</v>
      </c>
      <c r="C33" s="14">
        <v>24.751313036129499</v>
      </c>
      <c r="D33" s="14">
        <v>25.331049098660699</v>
      </c>
      <c r="E33" s="14">
        <v>24.451942038534501</v>
      </c>
      <c r="F33" s="7">
        <f t="shared" si="6"/>
        <v>24.8447680577749</v>
      </c>
      <c r="G33" s="20">
        <f>GAPDH!F34</f>
        <v>21.223504031128797</v>
      </c>
      <c r="H33" s="12">
        <f t="shared" si="5"/>
        <v>3.6212640266461023</v>
      </c>
      <c r="I33" s="8">
        <f t="shared" si="0"/>
        <v>-7.0199394419722783E-2</v>
      </c>
      <c r="J33" s="8">
        <f t="shared" si="4"/>
        <v>1.0498617746561059</v>
      </c>
      <c r="K33" s="3">
        <f t="shared" si="1"/>
        <v>0.94805566849254308</v>
      </c>
    </row>
    <row r="34" spans="1:11" x14ac:dyDescent="0.25">
      <c r="A34" s="28"/>
      <c r="B34" s="21" t="s">
        <v>10</v>
      </c>
      <c r="C34" s="14">
        <v>27.518861797528601</v>
      </c>
      <c r="D34" s="14">
        <v>25.959935239813799</v>
      </c>
      <c r="E34" s="14">
        <v>25.4439207936401</v>
      </c>
      <c r="F34" s="7">
        <f t="shared" si="6"/>
        <v>26.307572610327501</v>
      </c>
      <c r="G34" s="20">
        <f>GAPDH!F35</f>
        <v>20.15666628243655</v>
      </c>
      <c r="H34" s="12">
        <f t="shared" si="5"/>
        <v>6.1509063278909508</v>
      </c>
      <c r="I34" s="8">
        <f t="shared" si="0"/>
        <v>2.4594429068251258</v>
      </c>
      <c r="J34" s="8">
        <f t="shared" si="4"/>
        <v>0.18181675921000792</v>
      </c>
      <c r="K34" s="3">
        <f t="shared" si="1"/>
        <v>0.16418581317760078</v>
      </c>
    </row>
    <row r="35" spans="1:11" x14ac:dyDescent="0.25">
      <c r="A35" s="28"/>
      <c r="B35" s="21" t="s">
        <v>16</v>
      </c>
      <c r="C35" s="14">
        <v>19.556970190416902</v>
      </c>
      <c r="D35" s="14">
        <v>19.0927828448465</v>
      </c>
      <c r="E35" s="14">
        <v>18.473835601963</v>
      </c>
      <c r="F35" s="7">
        <f t="shared" si="6"/>
        <v>19.041196212408803</v>
      </c>
      <c r="G35" s="20">
        <f>GAPDH!F36</f>
        <v>20.725415710843169</v>
      </c>
      <c r="H35" s="12">
        <f t="shared" si="5"/>
        <v>-1.6842194984343664</v>
      </c>
      <c r="I35" s="8">
        <f t="shared" si="0"/>
        <v>-5.3756829195001909</v>
      </c>
      <c r="J35" s="8">
        <f t="shared" si="4"/>
        <v>41.518514456678268</v>
      </c>
      <c r="K35" s="3">
        <f t="shared" si="1"/>
        <v>37.492424172636305</v>
      </c>
    </row>
    <row r="36" spans="1:11" x14ac:dyDescent="0.25">
      <c r="A36" s="28"/>
      <c r="B36" s="21" t="s">
        <v>18</v>
      </c>
      <c r="C36" s="14">
        <v>19.859986138584901</v>
      </c>
      <c r="D36" s="14">
        <v>19.216469045116501</v>
      </c>
      <c r="E36" s="14">
        <v>18.5372610802787</v>
      </c>
      <c r="F36" s="7">
        <f t="shared" si="6"/>
        <v>19.204572087993366</v>
      </c>
      <c r="G36" s="20">
        <f>GAPDH!F37</f>
        <v>22.257374319086434</v>
      </c>
      <c r="H36" s="12">
        <f t="shared" si="5"/>
        <v>-3.052802231093068</v>
      </c>
      <c r="I36" s="8">
        <f t="shared" si="0"/>
        <v>-6.7442656521588926</v>
      </c>
      <c r="J36" s="8">
        <f t="shared" si="4"/>
        <v>107.20776939833689</v>
      </c>
      <c r="K36" s="3">
        <f t="shared" si="1"/>
        <v>96.811728875287102</v>
      </c>
    </row>
    <row r="37" spans="1:11" x14ac:dyDescent="0.25">
      <c r="A37" s="28"/>
      <c r="B37" s="22" t="s">
        <v>22</v>
      </c>
      <c r="C37" s="14">
        <v>24.2426802400275</v>
      </c>
      <c r="D37" s="14">
        <v>24.222972516212302</v>
      </c>
      <c r="E37" s="14"/>
      <c r="F37" s="7">
        <f t="shared" si="6"/>
        <v>24.232826378119903</v>
      </c>
      <c r="G37" s="20">
        <f>GAPDH!F38</f>
        <v>20.421690789811151</v>
      </c>
      <c r="H37" s="12">
        <f t="shared" si="5"/>
        <v>3.8111355883087512</v>
      </c>
      <c r="I37" s="8">
        <f t="shared" si="0"/>
        <v>0.11967216724292618</v>
      </c>
      <c r="J37" s="8">
        <f t="shared" si="4"/>
        <v>0.92039677446844803</v>
      </c>
      <c r="K37" s="3">
        <f t="shared" si="1"/>
        <v>0.83114501390708395</v>
      </c>
    </row>
    <row r="42" spans="1:11" x14ac:dyDescent="0.25">
      <c r="G42" s="10" t="s">
        <v>13</v>
      </c>
      <c r="H42" s="13">
        <f>AVERAGE(H2:H7)</f>
        <v>3.691463421065825</v>
      </c>
      <c r="I42" s="10" t="s">
        <v>14</v>
      </c>
      <c r="J42" s="13">
        <f>AVERAGE(J2:J7)</f>
        <v>1.1073841015321808</v>
      </c>
    </row>
  </sheetData>
  <mergeCells count="6">
    <mergeCell ref="A25:A31"/>
    <mergeCell ref="A32:A37"/>
    <mergeCell ref="A19:A24"/>
    <mergeCell ref="A2:A7"/>
    <mergeCell ref="A8:A13"/>
    <mergeCell ref="A14:A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C2CC-BEBF-47E1-9704-CDBE2FC03947}">
  <dimension ref="A1:K43"/>
  <sheetViews>
    <sheetView zoomScale="40" zoomScaleNormal="40" workbookViewId="0">
      <selection activeCell="AF51" sqref="AF51"/>
    </sheetView>
  </sheetViews>
  <sheetFormatPr baseColWidth="10" defaultRowHeight="15" x14ac:dyDescent="0.25"/>
  <sheetData>
    <row r="1" spans="1:11" ht="15.75" x14ac:dyDescent="0.25">
      <c r="C1" s="4" t="s">
        <v>0</v>
      </c>
      <c r="D1" s="5" t="s">
        <v>2</v>
      </c>
      <c r="E1" s="5" t="s">
        <v>11</v>
      </c>
      <c r="F1" s="6" t="s">
        <v>1</v>
      </c>
      <c r="G1" s="9" t="s">
        <v>12</v>
      </c>
      <c r="H1" s="2" t="s">
        <v>3</v>
      </c>
      <c r="I1" s="1" t="s">
        <v>4</v>
      </c>
      <c r="J1" s="1" t="s">
        <v>5</v>
      </c>
      <c r="K1" s="11" t="s">
        <v>6</v>
      </c>
    </row>
    <row r="2" spans="1:11" x14ac:dyDescent="0.25">
      <c r="A2" s="29" t="s">
        <v>7</v>
      </c>
      <c r="B2" s="19" t="s">
        <v>8</v>
      </c>
      <c r="C2" s="14">
        <v>26.252179046633</v>
      </c>
      <c r="D2" s="14">
        <v>25.430810146037501</v>
      </c>
      <c r="E2" s="14">
        <v>24.625570474055301</v>
      </c>
      <c r="F2" s="7">
        <f>AVERAGE(C2:E2)</f>
        <v>25.436186555575272</v>
      </c>
      <c r="G2" s="20">
        <f>GAPDH!F2</f>
        <v>19.880113003773932</v>
      </c>
      <c r="H2" s="12">
        <f>(F2-G2)</f>
        <v>5.5560735518013402</v>
      </c>
      <c r="I2" s="8">
        <f t="shared" ref="I2:I38" si="0">(H2-$H$43)</f>
        <v>1.16446192558963</v>
      </c>
      <c r="J2" s="8">
        <f>POWER(2,-I2)</f>
        <v>0.44613061968462714</v>
      </c>
      <c r="K2" s="3">
        <f t="shared" ref="K2:K38" si="1">(J2/$J$43)</f>
        <v>0.33766379495753091</v>
      </c>
    </row>
    <row r="3" spans="1:11" x14ac:dyDescent="0.25">
      <c r="A3" s="30"/>
      <c r="B3" s="21" t="s">
        <v>9</v>
      </c>
      <c r="C3" s="14">
        <v>25.233741608522401</v>
      </c>
      <c r="D3" s="14">
        <v>25.291211958880702</v>
      </c>
      <c r="E3" s="14"/>
      <c r="F3" s="7">
        <f t="shared" ref="F3:F38" si="2">AVERAGE(C3:E3)</f>
        <v>25.262476783701551</v>
      </c>
      <c r="G3" s="20">
        <f>GAPDH!F3</f>
        <v>18.890015985426199</v>
      </c>
      <c r="H3" s="12">
        <f t="shared" ref="H3:H38" si="3">(F3-G3)</f>
        <v>6.3724607982753518</v>
      </c>
      <c r="I3" s="8">
        <f t="shared" si="0"/>
        <v>1.9808491720636416</v>
      </c>
      <c r="J3" s="8">
        <f t="shared" ref="J3:J38" si="4">POWER(2,-I3)</f>
        <v>0.25334070940270753</v>
      </c>
      <c r="K3" s="3">
        <f t="shared" si="1"/>
        <v>0.19174650109114433</v>
      </c>
    </row>
    <row r="4" spans="1:11" x14ac:dyDescent="0.25">
      <c r="A4" s="30"/>
      <c r="B4" s="21" t="s">
        <v>10</v>
      </c>
      <c r="C4" s="14">
        <v>25.348857691978701</v>
      </c>
      <c r="D4" s="14">
        <v>25.075073733833701</v>
      </c>
      <c r="E4" s="14"/>
      <c r="F4" s="7">
        <f>AVERAGE(C4:E4)</f>
        <v>25.211965712906199</v>
      </c>
      <c r="G4" s="20">
        <f>GAPDH!F4</f>
        <v>20.952034015858999</v>
      </c>
      <c r="H4" s="12">
        <f t="shared" si="3"/>
        <v>4.2599316970472003</v>
      </c>
      <c r="I4" s="8">
        <f t="shared" si="0"/>
        <v>-0.13167992916450988</v>
      </c>
      <c r="J4" s="8">
        <f t="shared" si="4"/>
        <v>1.0955686807823681</v>
      </c>
      <c r="K4" s="3">
        <f t="shared" si="1"/>
        <v>0.82920530908884715</v>
      </c>
    </row>
    <row r="5" spans="1:11" x14ac:dyDescent="0.25">
      <c r="A5" s="30"/>
      <c r="B5" s="21" t="s">
        <v>16</v>
      </c>
      <c r="C5" s="14">
        <v>23.862124859655498</v>
      </c>
      <c r="D5" s="14">
        <v>24.1085345315647</v>
      </c>
      <c r="E5" s="14">
        <v>22.9123481636543</v>
      </c>
      <c r="F5" s="7">
        <f t="shared" si="2"/>
        <v>23.627669184958165</v>
      </c>
      <c r="G5" s="20">
        <f>GAPDH!F5</f>
        <v>20.27004437357235</v>
      </c>
      <c r="H5" s="12">
        <f t="shared" si="3"/>
        <v>3.3576248113858149</v>
      </c>
      <c r="I5" s="8">
        <f t="shared" si="0"/>
        <v>-1.0339868148258953</v>
      </c>
      <c r="J5" s="8">
        <f t="shared" si="4"/>
        <v>2.0476750865235456</v>
      </c>
      <c r="K5" s="3">
        <f t="shared" si="1"/>
        <v>1.5498280325262241</v>
      </c>
    </row>
    <row r="6" spans="1:11" x14ac:dyDescent="0.25">
      <c r="A6" s="30"/>
      <c r="B6" s="21" t="s">
        <v>17</v>
      </c>
      <c r="C6" s="14"/>
      <c r="D6" s="14">
        <v>23.8444320925006</v>
      </c>
      <c r="E6" s="14">
        <v>23.782248102752099</v>
      </c>
      <c r="F6" s="7">
        <f t="shared" si="2"/>
        <v>23.813340097626352</v>
      </c>
      <c r="G6" s="20">
        <f>GAPDH!F6</f>
        <v>20.754525780262398</v>
      </c>
      <c r="H6" s="12">
        <f t="shared" si="3"/>
        <v>3.0588143173639537</v>
      </c>
      <c r="I6" s="8">
        <f t="shared" si="0"/>
        <v>-1.3327973088477565</v>
      </c>
      <c r="J6" s="8">
        <f t="shared" si="4"/>
        <v>2.5189060418312228</v>
      </c>
      <c r="K6" s="3">
        <f t="shared" si="1"/>
        <v>1.9064895698650741</v>
      </c>
    </row>
    <row r="7" spans="1:11" x14ac:dyDescent="0.25">
      <c r="A7" s="30"/>
      <c r="B7" s="21" t="s">
        <v>18</v>
      </c>
      <c r="C7" s="14">
        <v>24.411388285849601</v>
      </c>
      <c r="D7" s="14">
        <v>24.035587825614801</v>
      </c>
      <c r="E7" s="14">
        <v>23.223548728272402</v>
      </c>
      <c r="F7" s="7">
        <f t="shared" si="2"/>
        <v>23.890174946578934</v>
      </c>
      <c r="G7" s="20">
        <f>GAPDH!F7</f>
        <v>20.145410365182332</v>
      </c>
      <c r="H7" s="12">
        <f t="shared" si="3"/>
        <v>3.744764581396602</v>
      </c>
      <c r="I7" s="8">
        <f t="shared" si="0"/>
        <v>-0.64684704481510824</v>
      </c>
      <c r="J7" s="8">
        <f t="shared" si="4"/>
        <v>1.5657425829717277</v>
      </c>
      <c r="K7" s="3">
        <f t="shared" si="1"/>
        <v>1.1850667924711786</v>
      </c>
    </row>
    <row r="8" spans="1:11" x14ac:dyDescent="0.25">
      <c r="A8" s="29" t="s">
        <v>15</v>
      </c>
      <c r="B8" s="19" t="s">
        <v>8</v>
      </c>
      <c r="C8" s="14">
        <v>22.8806647589305</v>
      </c>
      <c r="D8" s="14">
        <v>22.831304874685099</v>
      </c>
      <c r="E8" s="14">
        <v>22.244884266119801</v>
      </c>
      <c r="F8" s="7">
        <f t="shared" si="2"/>
        <v>22.652284633245131</v>
      </c>
      <c r="G8" s="20">
        <f>GAPDH!F8</f>
        <v>18.645834194685303</v>
      </c>
      <c r="H8" s="12">
        <f t="shared" si="3"/>
        <v>4.0064504385598276</v>
      </c>
      <c r="I8" s="8">
        <f t="shared" si="0"/>
        <v>-0.38516118765188256</v>
      </c>
      <c r="J8" s="8">
        <f t="shared" si="4"/>
        <v>1.3060056947311005</v>
      </c>
      <c r="K8" s="3">
        <f t="shared" si="1"/>
        <v>0.98847920241562781</v>
      </c>
    </row>
    <row r="9" spans="1:11" x14ac:dyDescent="0.25">
      <c r="A9" s="30"/>
      <c r="B9" s="21" t="s">
        <v>9</v>
      </c>
      <c r="C9" s="14">
        <v>25.035440737252099</v>
      </c>
      <c r="D9" s="14">
        <v>25.408725661559899</v>
      </c>
      <c r="E9" s="14"/>
      <c r="F9" s="7">
        <f t="shared" si="2"/>
        <v>25.222083199406001</v>
      </c>
      <c r="G9" s="20">
        <f>GAPDH!F9</f>
        <v>20.081909751896802</v>
      </c>
      <c r="H9" s="12">
        <f t="shared" si="3"/>
        <v>5.1401734475091985</v>
      </c>
      <c r="I9" s="8">
        <f t="shared" si="0"/>
        <v>0.74856182129748827</v>
      </c>
      <c r="J9" s="8">
        <f t="shared" si="4"/>
        <v>0.59519659520151935</v>
      </c>
      <c r="K9" s="3">
        <f t="shared" si="1"/>
        <v>0.45048766485388952</v>
      </c>
    </row>
    <row r="10" spans="1:11" x14ac:dyDescent="0.25">
      <c r="A10" s="30"/>
      <c r="B10" s="21" t="s">
        <v>10</v>
      </c>
      <c r="C10" s="14">
        <v>24.246827477834401</v>
      </c>
      <c r="D10" s="14">
        <v>25.859296101262501</v>
      </c>
      <c r="E10" s="14">
        <v>23.220905877275801</v>
      </c>
      <c r="F10" s="7">
        <f t="shared" si="2"/>
        <v>24.442343152124234</v>
      </c>
      <c r="G10" s="20">
        <f>GAPDH!F10</f>
        <v>20.786735832016049</v>
      </c>
      <c r="H10" s="12">
        <f t="shared" si="3"/>
        <v>3.6556073201081851</v>
      </c>
      <c r="I10" s="8">
        <f t="shared" si="0"/>
        <v>-0.73600430610352507</v>
      </c>
      <c r="J10" s="8">
        <f t="shared" si="4"/>
        <v>1.6655565130459955</v>
      </c>
      <c r="K10" s="3">
        <f t="shared" si="1"/>
        <v>1.2606131659577779</v>
      </c>
    </row>
    <row r="11" spans="1:11" x14ac:dyDescent="0.25">
      <c r="A11" s="30"/>
      <c r="B11" s="21" t="s">
        <v>16</v>
      </c>
      <c r="C11" s="14"/>
      <c r="D11" s="14">
        <v>22.8928320002242</v>
      </c>
      <c r="E11" s="14">
        <v>22.059995491517</v>
      </c>
      <c r="F11" s="7">
        <f t="shared" si="2"/>
        <v>22.476413745870602</v>
      </c>
      <c r="G11" s="20">
        <f>GAPDH!F11</f>
        <v>20.060528621664364</v>
      </c>
      <c r="H11" s="12">
        <f t="shared" si="3"/>
        <v>2.4158851242062376</v>
      </c>
      <c r="I11" s="8">
        <f t="shared" si="0"/>
        <v>-1.9757265020054726</v>
      </c>
      <c r="J11" s="8">
        <f t="shared" si="4"/>
        <v>3.9332625796716849</v>
      </c>
      <c r="K11" s="3">
        <f t="shared" si="1"/>
        <v>2.9769764966037222</v>
      </c>
    </row>
    <row r="12" spans="1:11" x14ac:dyDescent="0.25">
      <c r="A12" s="30"/>
      <c r="B12" s="21" t="s">
        <v>17</v>
      </c>
      <c r="C12" s="14">
        <v>22.5301788725493</v>
      </c>
      <c r="D12" s="14">
        <v>22.114231493187599</v>
      </c>
      <c r="E12" s="14">
        <v>21.6584978843035</v>
      </c>
      <c r="F12" s="7">
        <f t="shared" si="2"/>
        <v>22.100969416680133</v>
      </c>
      <c r="G12" s="20">
        <f>GAPDH!F12</f>
        <v>21.238924802909299</v>
      </c>
      <c r="H12" s="12">
        <f t="shared" si="3"/>
        <v>0.86204461377083419</v>
      </c>
      <c r="I12" s="8">
        <f t="shared" si="0"/>
        <v>-3.529567012440876</v>
      </c>
      <c r="J12" s="8">
        <f t="shared" si="4"/>
        <v>11.547967220703168</v>
      </c>
      <c r="K12" s="3">
        <f t="shared" si="1"/>
        <v>8.7403335788614243</v>
      </c>
    </row>
    <row r="13" spans="1:11" x14ac:dyDescent="0.25">
      <c r="A13" s="31"/>
      <c r="B13" s="22" t="s">
        <v>22</v>
      </c>
      <c r="C13" s="14">
        <v>23.568019157890301</v>
      </c>
      <c r="D13" s="14">
        <v>22.365976705982199</v>
      </c>
      <c r="E13" s="14">
        <v>21.966585910302001</v>
      </c>
      <c r="F13" s="7">
        <f t="shared" si="2"/>
        <v>22.633527258058166</v>
      </c>
      <c r="G13" s="20">
        <f>GAPDH!F13</f>
        <v>20.442502804186251</v>
      </c>
      <c r="H13" s="12">
        <f t="shared" si="3"/>
        <v>2.1910244538719148</v>
      </c>
      <c r="I13" s="8">
        <f t="shared" si="0"/>
        <v>-2.2005871723397954</v>
      </c>
      <c r="J13" s="8">
        <f t="shared" si="4"/>
        <v>4.5966638670521069</v>
      </c>
      <c r="K13" s="3">
        <f t="shared" si="1"/>
        <v>3.4790863863820491</v>
      </c>
    </row>
    <row r="14" spans="1:11" x14ac:dyDescent="0.25">
      <c r="A14" s="29" t="s">
        <v>21</v>
      </c>
      <c r="B14" s="19" t="s">
        <v>8</v>
      </c>
      <c r="C14" s="14">
        <v>30.792034738182</v>
      </c>
      <c r="D14" s="14">
        <v>30.510704888111398</v>
      </c>
      <c r="E14" s="14"/>
      <c r="F14" s="7">
        <f t="shared" si="2"/>
        <v>30.651369813146701</v>
      </c>
      <c r="G14" s="20">
        <f>GAPDH!F14</f>
        <v>33.702315575532673</v>
      </c>
      <c r="H14" s="12">
        <f t="shared" si="3"/>
        <v>-3.0509457623859717</v>
      </c>
      <c r="I14" s="8">
        <f t="shared" si="0"/>
        <v>-7.4425573885976819</v>
      </c>
      <c r="J14" s="8">
        <f t="shared" si="4"/>
        <v>173.95343875832333</v>
      </c>
      <c r="K14" s="3">
        <f t="shared" si="1"/>
        <v>131.6604951226393</v>
      </c>
    </row>
    <row r="15" spans="1:11" x14ac:dyDescent="0.25">
      <c r="A15" s="30"/>
      <c r="B15" s="21" t="s">
        <v>9</v>
      </c>
      <c r="C15" s="14">
        <v>27.596446132195599</v>
      </c>
      <c r="D15" s="14">
        <v>26.706800990138898</v>
      </c>
      <c r="E15" s="14">
        <v>25.5477953023642</v>
      </c>
      <c r="F15" s="7">
        <f t="shared" si="2"/>
        <v>26.617014141566234</v>
      </c>
      <c r="G15" s="20">
        <f>GAPDH!F15</f>
        <v>22.521665880276032</v>
      </c>
      <c r="H15" s="12">
        <f t="shared" si="3"/>
        <v>4.0953482612902015</v>
      </c>
      <c r="I15" s="8">
        <f t="shared" si="0"/>
        <v>-0.29626336492150873</v>
      </c>
      <c r="J15" s="8">
        <f t="shared" si="4"/>
        <v>1.2279598283238591</v>
      </c>
      <c r="K15" s="3">
        <f t="shared" si="1"/>
        <v>0.92940846781676323</v>
      </c>
    </row>
    <row r="16" spans="1:11" x14ac:dyDescent="0.25">
      <c r="A16" s="30"/>
      <c r="B16" s="21" t="s">
        <v>10</v>
      </c>
      <c r="C16" s="14">
        <v>26.053380941393002</v>
      </c>
      <c r="D16" s="14">
        <v>25.6133475681597</v>
      </c>
      <c r="E16" s="14">
        <v>24.401494250962099</v>
      </c>
      <c r="F16" s="7">
        <f t="shared" si="2"/>
        <v>25.356074253504932</v>
      </c>
      <c r="G16" s="20">
        <f>GAPDH!F16</f>
        <v>20.784666424968396</v>
      </c>
      <c r="H16" s="12">
        <f t="shared" si="3"/>
        <v>4.571407828536536</v>
      </c>
      <c r="I16" s="8">
        <f t="shared" si="0"/>
        <v>0.17979620232482585</v>
      </c>
      <c r="J16" s="8">
        <f t="shared" si="4"/>
        <v>0.88282769729814636</v>
      </c>
      <c r="K16" s="3">
        <f t="shared" si="1"/>
        <v>0.66818760562554236</v>
      </c>
    </row>
    <row r="17" spans="1:11" x14ac:dyDescent="0.25">
      <c r="A17" s="30"/>
      <c r="B17" s="21" t="s">
        <v>16</v>
      </c>
      <c r="C17" s="14">
        <v>24.355357307044301</v>
      </c>
      <c r="D17" s="14">
        <v>23.975557484095098</v>
      </c>
      <c r="E17" s="14">
        <v>22.714318661164601</v>
      </c>
      <c r="F17" s="7">
        <f t="shared" si="2"/>
        <v>23.681744484101333</v>
      </c>
      <c r="G17" s="20">
        <f>GAPDH!F17</f>
        <v>21.597096689038967</v>
      </c>
      <c r="H17" s="12">
        <f t="shared" si="3"/>
        <v>2.0846477950623665</v>
      </c>
      <c r="I17" s="8">
        <f t="shared" si="0"/>
        <v>-2.3069638311493437</v>
      </c>
      <c r="J17" s="8">
        <f t="shared" si="4"/>
        <v>4.9484058549918988</v>
      </c>
      <c r="K17" s="3">
        <f t="shared" si="1"/>
        <v>3.7453100645003903</v>
      </c>
    </row>
    <row r="18" spans="1:11" x14ac:dyDescent="0.25">
      <c r="A18" s="30"/>
      <c r="B18" s="21" t="s">
        <v>18</v>
      </c>
      <c r="C18" s="14">
        <v>37.006652343118901</v>
      </c>
      <c r="D18" s="14">
        <v>36.055930825030501</v>
      </c>
      <c r="E18" s="14"/>
      <c r="F18" s="7">
        <f t="shared" si="2"/>
        <v>36.531291584074701</v>
      </c>
      <c r="G18" s="20">
        <f>GAPDH!F18</f>
        <v>35.996443853511899</v>
      </c>
      <c r="H18" s="12">
        <f t="shared" si="3"/>
        <v>0.53484773056280233</v>
      </c>
      <c r="I18" s="8">
        <f t="shared" si="0"/>
        <v>-3.8567638956489079</v>
      </c>
      <c r="J18" s="8">
        <f t="shared" si="4"/>
        <v>14.487772536901465</v>
      </c>
      <c r="K18" s="3">
        <f t="shared" si="1"/>
        <v>10.965390043727172</v>
      </c>
    </row>
    <row r="19" spans="1:11" x14ac:dyDescent="0.25">
      <c r="A19" s="29" t="s">
        <v>20</v>
      </c>
      <c r="B19" s="24" t="s">
        <v>8</v>
      </c>
      <c r="C19" s="14">
        <v>23.073975169750199</v>
      </c>
      <c r="D19" s="14">
        <v>22.364039252959699</v>
      </c>
      <c r="E19" s="14">
        <v>22.057652835653599</v>
      </c>
      <c r="F19" s="7">
        <f t="shared" si="2"/>
        <v>22.498555752787833</v>
      </c>
      <c r="G19" s="20">
        <f>GAPDH!F19</f>
        <v>18.892011097312736</v>
      </c>
      <c r="H19" s="12">
        <f t="shared" si="3"/>
        <v>3.6065446554750977</v>
      </c>
      <c r="I19" s="8">
        <f t="shared" si="0"/>
        <v>-0.78506697073661247</v>
      </c>
      <c r="J19" s="8">
        <f t="shared" si="4"/>
        <v>1.723172308220728</v>
      </c>
      <c r="K19" s="3">
        <f t="shared" si="1"/>
        <v>1.3042209507405143</v>
      </c>
    </row>
    <row r="20" spans="1:11" x14ac:dyDescent="0.25">
      <c r="A20" s="30"/>
      <c r="B20" s="24" t="s">
        <v>9</v>
      </c>
      <c r="C20" s="14">
        <v>24.323402658580299</v>
      </c>
      <c r="D20" s="14">
        <v>23.454288444916699</v>
      </c>
      <c r="E20" s="14">
        <v>22.633420472528901</v>
      </c>
      <c r="F20" s="7">
        <f t="shared" si="2"/>
        <v>23.470370525341966</v>
      </c>
      <c r="G20" s="20">
        <f>GAPDH!F20</f>
        <v>20.564191870424551</v>
      </c>
      <c r="H20" s="12">
        <f t="shared" si="3"/>
        <v>2.9061786549174151</v>
      </c>
      <c r="I20" s="8">
        <f t="shared" si="0"/>
        <v>-1.4854329712942951</v>
      </c>
      <c r="J20" s="8">
        <f t="shared" si="4"/>
        <v>2.8000119246157329</v>
      </c>
      <c r="K20" s="3">
        <f t="shared" si="1"/>
        <v>2.1192507545445829</v>
      </c>
    </row>
    <row r="21" spans="1:11" x14ac:dyDescent="0.25">
      <c r="A21" s="30"/>
      <c r="B21" s="24" t="s">
        <v>10</v>
      </c>
      <c r="C21" s="14"/>
      <c r="D21" s="14">
        <v>23.6975285466741</v>
      </c>
      <c r="E21" s="14">
        <v>23.3683961997654</v>
      </c>
      <c r="F21" s="7">
        <f t="shared" si="2"/>
        <v>23.53296237321975</v>
      </c>
      <c r="G21" s="20">
        <f>GAPDH!F21</f>
        <v>21.228665872900599</v>
      </c>
      <c r="H21" s="12">
        <f t="shared" si="3"/>
        <v>2.3042965003191505</v>
      </c>
      <c r="I21" s="8">
        <f t="shared" si="0"/>
        <v>-2.0873151258925597</v>
      </c>
      <c r="J21" s="8">
        <f t="shared" si="4"/>
        <v>4.2495648712204437</v>
      </c>
      <c r="K21" s="3">
        <f t="shared" si="1"/>
        <v>3.2163768592007069</v>
      </c>
    </row>
    <row r="22" spans="1:11" x14ac:dyDescent="0.25">
      <c r="A22" s="30"/>
      <c r="B22" s="24" t="s">
        <v>17</v>
      </c>
      <c r="C22" s="14">
        <v>25.213361884088801</v>
      </c>
      <c r="D22" s="14">
        <v>24.570536971146201</v>
      </c>
      <c r="E22" s="14">
        <v>23.9403862525681</v>
      </c>
      <c r="F22" s="7">
        <f t="shared" si="2"/>
        <v>24.574761702601034</v>
      </c>
      <c r="G22" s="20">
        <f>GAPDH!F22</f>
        <v>21.751256545280999</v>
      </c>
      <c r="H22" s="12">
        <f t="shared" si="3"/>
        <v>2.8235051573200352</v>
      </c>
      <c r="I22" s="8">
        <f t="shared" si="0"/>
        <v>-1.568106468891675</v>
      </c>
      <c r="J22" s="8">
        <f t="shared" si="4"/>
        <v>2.9651528356952941</v>
      </c>
      <c r="K22" s="3">
        <f t="shared" si="1"/>
        <v>2.2442412938115073</v>
      </c>
    </row>
    <row r="23" spans="1:11" x14ac:dyDescent="0.25">
      <c r="A23" s="30"/>
      <c r="B23" s="21" t="s">
        <v>18</v>
      </c>
      <c r="C23" s="14"/>
      <c r="D23" s="14">
        <v>23.798612883399901</v>
      </c>
      <c r="E23" s="14">
        <v>23.3405621013484</v>
      </c>
      <c r="F23" s="7">
        <f t="shared" si="2"/>
        <v>23.569587492374151</v>
      </c>
      <c r="G23" s="20">
        <f>GAPDH!F23</f>
        <v>21.227997258011033</v>
      </c>
      <c r="H23" s="12">
        <f t="shared" si="3"/>
        <v>2.3415902343631174</v>
      </c>
      <c r="I23" s="8">
        <f t="shared" si="0"/>
        <v>-2.0500213918485928</v>
      </c>
      <c r="J23" s="8">
        <f t="shared" si="4"/>
        <v>4.1411210982096769</v>
      </c>
      <c r="K23" s="3">
        <f t="shared" si="1"/>
        <v>3.1342987988330644</v>
      </c>
    </row>
    <row r="24" spans="1:11" x14ac:dyDescent="0.25">
      <c r="A24" s="31"/>
      <c r="B24" s="22" t="s">
        <v>22</v>
      </c>
      <c r="C24" s="14">
        <v>23.661153571832799</v>
      </c>
      <c r="D24" s="14">
        <v>23.951847141252799</v>
      </c>
      <c r="E24" s="14">
        <v>22.717689595053599</v>
      </c>
      <c r="F24" s="7">
        <f t="shared" si="2"/>
        <v>23.4435634360464</v>
      </c>
      <c r="G24" s="20">
        <f>GAPDH!F24</f>
        <v>21.106135835714401</v>
      </c>
      <c r="H24" s="12">
        <f t="shared" si="3"/>
        <v>2.3374276003319991</v>
      </c>
      <c r="I24" s="8">
        <f t="shared" si="0"/>
        <v>-2.0541840258797111</v>
      </c>
      <c r="J24" s="8">
        <f t="shared" si="4"/>
        <v>4.1530868037617825</v>
      </c>
      <c r="K24" s="3">
        <f t="shared" si="1"/>
        <v>3.1433553068775573</v>
      </c>
    </row>
    <row r="25" spans="1:11" x14ac:dyDescent="0.25">
      <c r="A25" s="26" t="s">
        <v>19</v>
      </c>
      <c r="B25" s="19" t="s">
        <v>8</v>
      </c>
      <c r="C25" s="14">
        <v>23.071175401720701</v>
      </c>
      <c r="D25" s="14">
        <v>23.081679489825</v>
      </c>
      <c r="E25" s="14"/>
      <c r="F25" s="7">
        <f t="shared" si="2"/>
        <v>23.07642744577285</v>
      </c>
      <c r="G25" s="20">
        <f>GAPDH!F25</f>
        <v>19.217248238632866</v>
      </c>
      <c r="H25" s="12">
        <f t="shared" si="3"/>
        <v>3.8591792071399844</v>
      </c>
      <c r="I25" s="8">
        <f t="shared" si="0"/>
        <v>-0.53243241907172578</v>
      </c>
      <c r="J25" s="8">
        <f>POWER(2,-I25)</f>
        <v>1.4463657488761084</v>
      </c>
      <c r="K25" s="3">
        <f t="shared" si="1"/>
        <v>1.0947138037898876</v>
      </c>
    </row>
    <row r="26" spans="1:11" x14ac:dyDescent="0.25">
      <c r="A26" s="27"/>
      <c r="B26" s="21" t="s">
        <v>9</v>
      </c>
      <c r="C26" s="14">
        <v>24.481051861316299</v>
      </c>
      <c r="D26" s="14">
        <v>24.408893097183402</v>
      </c>
      <c r="E26" s="14"/>
      <c r="F26" s="7">
        <f t="shared" si="2"/>
        <v>24.444972479249849</v>
      </c>
      <c r="G26" s="20">
        <f>GAPDH!F26</f>
        <v>19.3055769566454</v>
      </c>
      <c r="H26" s="12">
        <f t="shared" si="3"/>
        <v>5.139395522604449</v>
      </c>
      <c r="I26" s="8">
        <f t="shared" si="0"/>
        <v>0.74778389639273879</v>
      </c>
      <c r="J26" s="8">
        <f t="shared" si="4"/>
        <v>0.59551762154282784</v>
      </c>
      <c r="K26" s="3">
        <f t="shared" si="1"/>
        <v>0.45073064071769414</v>
      </c>
    </row>
    <row r="27" spans="1:11" x14ac:dyDescent="0.25">
      <c r="A27" s="27"/>
      <c r="B27" s="21" t="s">
        <v>10</v>
      </c>
      <c r="C27" s="14">
        <v>24.655609248482701</v>
      </c>
      <c r="D27" s="14">
        <v>24.5400825346841</v>
      </c>
      <c r="E27" s="14"/>
      <c r="F27" s="7">
        <f t="shared" si="2"/>
        <v>24.5978458915834</v>
      </c>
      <c r="G27" s="20">
        <f>GAPDH!F27</f>
        <v>20.327723146809266</v>
      </c>
      <c r="H27" s="12">
        <f t="shared" si="3"/>
        <v>4.2701227447741346</v>
      </c>
      <c r="I27" s="8">
        <f t="shared" si="0"/>
        <v>-0.12148888143757564</v>
      </c>
      <c r="J27" s="8">
        <f t="shared" si="4"/>
        <v>1.0878569670007259</v>
      </c>
      <c r="K27" s="3">
        <f t="shared" si="1"/>
        <v>0.8233685284998431</v>
      </c>
    </row>
    <row r="28" spans="1:11" x14ac:dyDescent="0.25">
      <c r="A28" s="27"/>
      <c r="B28" s="21" t="s">
        <v>16</v>
      </c>
      <c r="C28" s="14">
        <v>24.489386275221399</v>
      </c>
      <c r="D28" s="14">
        <v>24.1391510468071</v>
      </c>
      <c r="E28" s="14"/>
      <c r="F28" s="7">
        <f t="shared" si="2"/>
        <v>24.31426866101425</v>
      </c>
      <c r="G28" s="20">
        <f>GAPDH!F28</f>
        <v>22.923007026111051</v>
      </c>
      <c r="H28" s="12">
        <f t="shared" si="3"/>
        <v>1.3912616349031985</v>
      </c>
      <c r="I28" s="8">
        <f t="shared" si="0"/>
        <v>-3.0003499913085117</v>
      </c>
      <c r="J28" s="8">
        <f t="shared" si="4"/>
        <v>8.0019409993390429</v>
      </c>
      <c r="K28" s="3">
        <f t="shared" si="1"/>
        <v>6.0564454571020416</v>
      </c>
    </row>
    <row r="29" spans="1:11" x14ac:dyDescent="0.25">
      <c r="A29" s="27"/>
      <c r="B29" s="21" t="s">
        <v>17</v>
      </c>
      <c r="C29" s="14">
        <v>26.217571737557201</v>
      </c>
      <c r="D29" s="14">
        <v>25.483502611151199</v>
      </c>
      <c r="E29" s="14">
        <v>24.758973864244599</v>
      </c>
      <c r="F29" s="7">
        <f t="shared" si="2"/>
        <v>25.486682737650998</v>
      </c>
      <c r="G29" s="20">
        <f>GAPDH!F29</f>
        <v>22.475024702070129</v>
      </c>
      <c r="H29" s="12">
        <f t="shared" si="3"/>
        <v>3.0116580355808686</v>
      </c>
      <c r="I29" s="8">
        <f t="shared" si="0"/>
        <v>-1.3799535906308416</v>
      </c>
      <c r="J29" s="8">
        <f t="shared" si="4"/>
        <v>2.6025999877386852</v>
      </c>
      <c r="K29" s="3">
        <f t="shared" si="1"/>
        <v>1.9698351779519201</v>
      </c>
    </row>
    <row r="30" spans="1:11" x14ac:dyDescent="0.25">
      <c r="A30" s="27"/>
      <c r="B30" s="21" t="s">
        <v>18</v>
      </c>
      <c r="C30" s="14">
        <v>24.271135199997101</v>
      </c>
      <c r="D30" s="14">
        <v>23.342030141977698</v>
      </c>
      <c r="E30" s="14">
        <v>22.721648159803401</v>
      </c>
      <c r="F30" s="7">
        <f t="shared" si="2"/>
        <v>23.444937833926065</v>
      </c>
      <c r="G30" s="20">
        <f>GAPDH!F30</f>
        <v>21.140750833179734</v>
      </c>
      <c r="H30" s="12">
        <f t="shared" si="3"/>
        <v>2.3041870007463316</v>
      </c>
      <c r="I30" s="8">
        <f t="shared" si="0"/>
        <v>-2.0874246254653785</v>
      </c>
      <c r="J30" s="8">
        <f t="shared" si="4"/>
        <v>4.2498874225457541</v>
      </c>
      <c r="K30" s="3">
        <f t="shared" si="1"/>
        <v>3.2166209892822732</v>
      </c>
    </row>
    <row r="31" spans="1:11" x14ac:dyDescent="0.25">
      <c r="A31" s="27"/>
      <c r="B31" s="22" t="s">
        <v>22</v>
      </c>
      <c r="C31" s="14"/>
      <c r="D31" s="14">
        <v>22.935444820599201</v>
      </c>
      <c r="E31" s="14">
        <v>22.250508536563899</v>
      </c>
      <c r="F31" s="7">
        <f t="shared" si="2"/>
        <v>22.59297667858155</v>
      </c>
      <c r="G31" s="20">
        <f>GAPDH!F31</f>
        <v>20.343775545222034</v>
      </c>
      <c r="H31" s="12">
        <f t="shared" si="3"/>
        <v>2.2492011333595165</v>
      </c>
      <c r="I31" s="8">
        <f t="shared" si="0"/>
        <v>-2.1424104928521936</v>
      </c>
      <c r="J31" s="8">
        <f t="shared" si="4"/>
        <v>4.414990987522315</v>
      </c>
      <c r="K31" s="3">
        <f t="shared" si="1"/>
        <v>3.3415832623278057</v>
      </c>
    </row>
    <row r="32" spans="1:11" x14ac:dyDescent="0.25">
      <c r="A32" s="21"/>
      <c r="B32" s="21" t="s">
        <v>24</v>
      </c>
      <c r="C32" s="14">
        <v>24.584994118515802</v>
      </c>
      <c r="D32" s="14">
        <v>23.2681790240213</v>
      </c>
      <c r="E32" s="14">
        <v>22.850235408267999</v>
      </c>
      <c r="F32" s="7">
        <f t="shared" si="2"/>
        <v>23.567802850268368</v>
      </c>
      <c r="G32" s="20">
        <f>GAPDH!F32</f>
        <v>20.629437703399034</v>
      </c>
      <c r="H32" s="12">
        <f t="shared" ref="H32" si="5">(F32-G32)</f>
        <v>2.9383651468693337</v>
      </c>
      <c r="I32" s="8">
        <f t="shared" si="0"/>
        <v>-1.4532464793423765</v>
      </c>
      <c r="J32" s="8">
        <f t="shared" si="4"/>
        <v>2.7382354040522516</v>
      </c>
      <c r="K32" s="3">
        <f t="shared" si="1"/>
        <v>2.0724938330235205</v>
      </c>
    </row>
    <row r="33" spans="1:11" x14ac:dyDescent="0.25">
      <c r="A33" s="26" t="s">
        <v>23</v>
      </c>
      <c r="B33" s="19" t="s">
        <v>8</v>
      </c>
      <c r="C33" s="14">
        <v>25.0347517437202</v>
      </c>
      <c r="D33" s="14">
        <v>25.218552339286301</v>
      </c>
      <c r="E33" s="14"/>
      <c r="F33" s="7">
        <f t="shared" si="2"/>
        <v>25.126652041503249</v>
      </c>
      <c r="G33" s="20">
        <f>GAPDH!F33</f>
        <v>18.736274545950966</v>
      </c>
      <c r="H33" s="12">
        <f t="shared" si="3"/>
        <v>6.3903774955522827</v>
      </c>
      <c r="I33" s="8">
        <f t="shared" si="0"/>
        <v>1.9987658693405725</v>
      </c>
      <c r="J33" s="8">
        <f t="shared" si="4"/>
        <v>0.25021395004380032</v>
      </c>
      <c r="K33" s="3">
        <f t="shared" si="1"/>
        <v>0.18937994433744307</v>
      </c>
    </row>
    <row r="34" spans="1:11" x14ac:dyDescent="0.25">
      <c r="A34" s="28"/>
      <c r="B34" s="21" t="s">
        <v>9</v>
      </c>
      <c r="C34" s="14">
        <v>25.550440341030999</v>
      </c>
      <c r="D34" s="14">
        <v>25.101075916882799</v>
      </c>
      <c r="E34" s="14">
        <v>25.065742332482301</v>
      </c>
      <c r="F34" s="7">
        <f t="shared" si="2"/>
        <v>25.239086196798699</v>
      </c>
      <c r="G34" s="20">
        <f>GAPDH!F34</f>
        <v>21.223504031128797</v>
      </c>
      <c r="H34" s="12">
        <f t="shared" si="3"/>
        <v>4.0155821656699011</v>
      </c>
      <c r="I34" s="8">
        <f t="shared" si="0"/>
        <v>-0.37602946054180908</v>
      </c>
      <c r="J34" s="8">
        <f t="shared" si="4"/>
        <v>1.2977652676732114</v>
      </c>
      <c r="K34" s="3">
        <f t="shared" si="1"/>
        <v>0.9822422535274199</v>
      </c>
    </row>
    <row r="35" spans="1:11" x14ac:dyDescent="0.25">
      <c r="A35" s="28"/>
      <c r="B35" s="21" t="s">
        <v>10</v>
      </c>
      <c r="C35" s="14">
        <v>26.498551445141398</v>
      </c>
      <c r="D35" s="14">
        <v>25.915611973377199</v>
      </c>
      <c r="E35" s="14">
        <v>24.599791872911801</v>
      </c>
      <c r="F35" s="7">
        <f t="shared" si="2"/>
        <v>25.671318430476799</v>
      </c>
      <c r="G35" s="20">
        <f>GAPDH!F35</f>
        <v>20.15666628243655</v>
      </c>
      <c r="H35" s="12">
        <f t="shared" si="3"/>
        <v>5.5146521480402484</v>
      </c>
      <c r="I35" s="8">
        <f t="shared" si="0"/>
        <v>1.1230405218285382</v>
      </c>
      <c r="J35" s="8">
        <f t="shared" si="4"/>
        <v>0.45912518524884133</v>
      </c>
      <c r="K35" s="3">
        <f t="shared" si="1"/>
        <v>0.34749901838455949</v>
      </c>
    </row>
    <row r="36" spans="1:11" x14ac:dyDescent="0.25">
      <c r="A36" s="28"/>
      <c r="B36" s="21" t="s">
        <v>16</v>
      </c>
      <c r="C36" s="14">
        <v>23.8080790317516</v>
      </c>
      <c r="D36" s="14">
        <v>23.303440434837299</v>
      </c>
      <c r="E36" s="14">
        <v>22.729078497870098</v>
      </c>
      <c r="F36" s="7">
        <f t="shared" si="2"/>
        <v>23.280199321486332</v>
      </c>
      <c r="G36" s="20">
        <f>GAPDH!F36</f>
        <v>20.725415710843169</v>
      </c>
      <c r="H36" s="12">
        <f t="shared" si="3"/>
        <v>2.5547836106431632</v>
      </c>
      <c r="I36" s="8">
        <f t="shared" si="0"/>
        <v>-1.836828015568547</v>
      </c>
      <c r="J36" s="8">
        <f t="shared" si="4"/>
        <v>3.5722375357195979</v>
      </c>
      <c r="K36" s="3">
        <f t="shared" si="1"/>
        <v>2.703726732887108</v>
      </c>
    </row>
    <row r="37" spans="1:11" x14ac:dyDescent="0.25">
      <c r="A37" s="28"/>
      <c r="B37" s="21" t="s">
        <v>18</v>
      </c>
      <c r="C37" s="14"/>
      <c r="D37" s="14">
        <v>24.077453774151401</v>
      </c>
      <c r="E37" s="14">
        <v>24.007551674706001</v>
      </c>
      <c r="F37" s="7">
        <f t="shared" si="2"/>
        <v>24.042502724428701</v>
      </c>
      <c r="G37" s="20">
        <f>GAPDH!F37</f>
        <v>22.257374319086434</v>
      </c>
      <c r="H37" s="12">
        <f t="shared" si="3"/>
        <v>1.7851284053422667</v>
      </c>
      <c r="I37" s="8">
        <f t="shared" si="0"/>
        <v>-2.6064832208694435</v>
      </c>
      <c r="J37" s="8">
        <f t="shared" si="4"/>
        <v>6.0901730437224053</v>
      </c>
      <c r="K37" s="3">
        <f t="shared" si="1"/>
        <v>4.609481732827641</v>
      </c>
    </row>
    <row r="38" spans="1:11" x14ac:dyDescent="0.25">
      <c r="A38" s="28"/>
      <c r="B38" s="22" t="s">
        <v>22</v>
      </c>
      <c r="C38" s="14">
        <v>25.359910306746801</v>
      </c>
      <c r="D38" s="14">
        <v>24.208636523444099</v>
      </c>
      <c r="E38" s="14">
        <v>23.180696991450102</v>
      </c>
      <c r="F38" s="7">
        <f t="shared" si="2"/>
        <v>24.249747940547</v>
      </c>
      <c r="G38" s="20">
        <f>GAPDH!F38</f>
        <v>20.421690789811151</v>
      </c>
      <c r="H38" s="12">
        <f t="shared" si="3"/>
        <v>3.8280571507358481</v>
      </c>
      <c r="I38" s="8">
        <f t="shared" si="0"/>
        <v>-0.56355447547586213</v>
      </c>
      <c r="J38" s="8">
        <f t="shared" si="4"/>
        <v>1.4779059626433872</v>
      </c>
      <c r="K38" s="3">
        <f t="shared" si="1"/>
        <v>1.1185857099189933</v>
      </c>
    </row>
    <row r="43" spans="1:11" x14ac:dyDescent="0.25">
      <c r="G43" s="10" t="s">
        <v>13</v>
      </c>
      <c r="H43" s="13">
        <f>AVERAGE(H2:H7)</f>
        <v>4.3916116262117102</v>
      </c>
      <c r="I43" s="10" t="s">
        <v>14</v>
      </c>
      <c r="J43" s="13">
        <f>AVERAGE(J2:J7)</f>
        <v>1.3212272868660333</v>
      </c>
    </row>
  </sheetData>
  <mergeCells count="6">
    <mergeCell ref="A19:A24"/>
    <mergeCell ref="A25:A31"/>
    <mergeCell ref="A33:A38"/>
    <mergeCell ref="A2:A7"/>
    <mergeCell ref="A8:A13"/>
    <mergeCell ref="A14:A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30C3-C75C-475D-84B6-3ABE791842CD}">
  <dimension ref="A1:K43"/>
  <sheetViews>
    <sheetView zoomScale="40" zoomScaleNormal="40" workbookViewId="0">
      <selection activeCell="AM79" sqref="AM79"/>
    </sheetView>
  </sheetViews>
  <sheetFormatPr baseColWidth="10" defaultRowHeight="15" x14ac:dyDescent="0.25"/>
  <sheetData>
    <row r="1" spans="1:11" ht="15.75" x14ac:dyDescent="0.25">
      <c r="C1" s="4" t="s">
        <v>0</v>
      </c>
      <c r="D1" s="5" t="s">
        <v>2</v>
      </c>
      <c r="E1" s="5" t="s">
        <v>11</v>
      </c>
      <c r="F1" s="6" t="s">
        <v>1</v>
      </c>
      <c r="G1" s="9" t="s">
        <v>12</v>
      </c>
      <c r="H1" s="2" t="s">
        <v>3</v>
      </c>
      <c r="I1" s="1" t="s">
        <v>4</v>
      </c>
      <c r="J1" s="1" t="s">
        <v>5</v>
      </c>
      <c r="K1" s="11" t="s">
        <v>6</v>
      </c>
    </row>
    <row r="2" spans="1:11" x14ac:dyDescent="0.25">
      <c r="A2" s="29" t="s">
        <v>7</v>
      </c>
      <c r="B2" s="19" t="s">
        <v>8</v>
      </c>
      <c r="C2" s="14"/>
      <c r="D2" s="14">
        <v>28.2328129136475</v>
      </c>
      <c r="E2" s="14">
        <v>28.077299614990402</v>
      </c>
      <c r="F2" s="7">
        <f>AVERAGE(C2:E2)</f>
        <v>28.155056264318951</v>
      </c>
      <c r="G2" s="20">
        <f>GAPDH!F2</f>
        <v>19.880113003773932</v>
      </c>
      <c r="H2" s="12">
        <f>(F2-G2)</f>
        <v>8.2749432605450188</v>
      </c>
      <c r="I2" s="8">
        <f t="shared" ref="I2:I38" si="0">(H2-$H$43)</f>
        <v>1.9670098899224522</v>
      </c>
      <c r="J2" s="8">
        <f>POWER(2,-I2)</f>
        <v>0.2557826139938193</v>
      </c>
      <c r="K2" s="3">
        <f t="shared" ref="K2:K38" si="1">(J2/$J$43)</f>
        <v>3.8342033101015187E-2</v>
      </c>
    </row>
    <row r="3" spans="1:11" x14ac:dyDescent="0.25">
      <c r="A3" s="30"/>
      <c r="B3" s="21" t="s">
        <v>9</v>
      </c>
      <c r="C3" s="14">
        <v>19.992133411747901</v>
      </c>
      <c r="D3" s="14">
        <v>19.979344891124601</v>
      </c>
      <c r="E3" s="14">
        <v>19.999194464759899</v>
      </c>
      <c r="F3" s="7">
        <f t="shared" ref="F3:F38" si="2">AVERAGE(C3:E3)</f>
        <v>19.990224255877465</v>
      </c>
      <c r="G3" s="20">
        <f>GAPDH!F3</f>
        <v>18.890015985426199</v>
      </c>
      <c r="H3" s="12">
        <f t="shared" ref="H3:H38" si="3">(F3-G3)</f>
        <v>1.1002082704512652</v>
      </c>
      <c r="I3" s="8">
        <f t="shared" si="0"/>
        <v>-5.2077251001713014</v>
      </c>
      <c r="J3" s="8">
        <f t="shared" ref="J3:J38" si="4">POWER(2,-I3)</f>
        <v>36.955702671938191</v>
      </c>
      <c r="K3" s="3">
        <f t="shared" si="1"/>
        <v>5.5396915098888178</v>
      </c>
    </row>
    <row r="4" spans="1:11" x14ac:dyDescent="0.25">
      <c r="A4" s="30"/>
      <c r="B4" s="21" t="s">
        <v>10</v>
      </c>
      <c r="C4" s="14">
        <v>27.1037509150452</v>
      </c>
      <c r="D4" s="14">
        <v>26.9787507112522</v>
      </c>
      <c r="E4" s="14">
        <v>26.6526396993515</v>
      </c>
      <c r="F4" s="7">
        <f>AVERAGE(C4:E4)</f>
        <v>26.911713775216299</v>
      </c>
      <c r="G4" s="20">
        <f>GAPDH!F4</f>
        <v>20.952034015858999</v>
      </c>
      <c r="H4" s="12">
        <f t="shared" si="3"/>
        <v>5.9596797593573001</v>
      </c>
      <c r="I4" s="8">
        <f t="shared" si="0"/>
        <v>-0.34825361126526655</v>
      </c>
      <c r="J4" s="8">
        <f t="shared" si="4"/>
        <v>1.2730186994801169</v>
      </c>
      <c r="K4" s="3">
        <f t="shared" si="1"/>
        <v>0.19082659431597407</v>
      </c>
    </row>
    <row r="5" spans="1:11" x14ac:dyDescent="0.25">
      <c r="A5" s="30"/>
      <c r="B5" s="21" t="s">
        <v>16</v>
      </c>
      <c r="C5" s="14"/>
      <c r="D5" s="14">
        <v>27.108504312950199</v>
      </c>
      <c r="E5" s="14">
        <v>26.553824073673901</v>
      </c>
      <c r="F5" s="7">
        <f t="shared" si="2"/>
        <v>26.831164193312048</v>
      </c>
      <c r="G5" s="20">
        <f>GAPDH!F5</f>
        <v>20.27004437357235</v>
      </c>
      <c r="H5" s="12">
        <f t="shared" si="3"/>
        <v>6.561119819739698</v>
      </c>
      <c r="I5" s="8">
        <f t="shared" si="0"/>
        <v>0.2531864491171314</v>
      </c>
      <c r="J5" s="8">
        <f t="shared" si="4"/>
        <v>0.83904119520102516</v>
      </c>
      <c r="K5" s="3">
        <f t="shared" si="1"/>
        <v>0.12577299440801876</v>
      </c>
    </row>
    <row r="6" spans="1:11" x14ac:dyDescent="0.25">
      <c r="A6" s="30"/>
      <c r="B6" s="21" t="s">
        <v>17</v>
      </c>
      <c r="C6" s="14">
        <v>28.403240118701699</v>
      </c>
      <c r="D6" s="14">
        <v>27.676418547120001</v>
      </c>
      <c r="E6" s="14"/>
      <c r="F6" s="7">
        <f t="shared" si="2"/>
        <v>28.039829332910848</v>
      </c>
      <c r="G6" s="20">
        <f>GAPDH!F6</f>
        <v>20.754525780262398</v>
      </c>
      <c r="H6" s="12">
        <f t="shared" si="3"/>
        <v>7.2853035526484504</v>
      </c>
      <c r="I6" s="8">
        <f t="shared" si="0"/>
        <v>0.97737018202588377</v>
      </c>
      <c r="J6" s="8">
        <f t="shared" si="4"/>
        <v>0.50790473118181234</v>
      </c>
      <c r="K6" s="3">
        <f t="shared" si="1"/>
        <v>7.6135354592966359E-2</v>
      </c>
    </row>
    <row r="7" spans="1:11" x14ac:dyDescent="0.25">
      <c r="A7" s="30"/>
      <c r="B7" s="21" t="s">
        <v>18</v>
      </c>
      <c r="C7" s="14"/>
      <c r="D7" s="14">
        <v>28.979779815638</v>
      </c>
      <c r="E7" s="14">
        <v>28.643732036713999</v>
      </c>
      <c r="F7" s="7">
        <f t="shared" si="2"/>
        <v>28.811755926175998</v>
      </c>
      <c r="G7" s="20">
        <f>GAPDH!F7</f>
        <v>20.145410365182332</v>
      </c>
      <c r="H7" s="12">
        <f t="shared" si="3"/>
        <v>8.6663455609936655</v>
      </c>
      <c r="I7" s="8">
        <f t="shared" si="0"/>
        <v>2.3584121903710988</v>
      </c>
      <c r="J7" s="8">
        <f t="shared" si="4"/>
        <v>0.19500564729434192</v>
      </c>
      <c r="K7" s="3">
        <f t="shared" si="1"/>
        <v>2.923151369320677E-2</v>
      </c>
    </row>
    <row r="8" spans="1:11" x14ac:dyDescent="0.25">
      <c r="A8" s="29" t="s">
        <v>15</v>
      </c>
      <c r="B8" s="19" t="s">
        <v>8</v>
      </c>
      <c r="C8" s="14">
        <v>19.565339609222899</v>
      </c>
      <c r="D8" s="14">
        <v>19.132309937535599</v>
      </c>
      <c r="E8" s="14">
        <v>19.078273733755601</v>
      </c>
      <c r="F8" s="7">
        <f t="shared" si="2"/>
        <v>19.2586410935047</v>
      </c>
      <c r="G8" s="20">
        <f>GAPDH!F8</f>
        <v>18.645834194685303</v>
      </c>
      <c r="H8" s="12">
        <f t="shared" si="3"/>
        <v>0.61280689881939665</v>
      </c>
      <c r="I8" s="8">
        <f t="shared" si="0"/>
        <v>-5.69512647180317</v>
      </c>
      <c r="J8" s="8">
        <f t="shared" si="4"/>
        <v>51.808843408333985</v>
      </c>
      <c r="K8" s="3">
        <f t="shared" si="1"/>
        <v>7.7661900387633649</v>
      </c>
    </row>
    <row r="9" spans="1:11" x14ac:dyDescent="0.25">
      <c r="A9" s="30"/>
      <c r="B9" s="21" t="s">
        <v>9</v>
      </c>
      <c r="C9" s="14">
        <v>19.202099054748999</v>
      </c>
      <c r="D9" s="14">
        <v>19.2316484358686</v>
      </c>
      <c r="E9" s="14"/>
      <c r="F9" s="7">
        <f t="shared" si="2"/>
        <v>19.216873745308799</v>
      </c>
      <c r="G9" s="20">
        <f>GAPDH!F9</f>
        <v>20.081909751896802</v>
      </c>
      <c r="H9" s="12">
        <f t="shared" si="3"/>
        <v>-0.86503600658800295</v>
      </c>
      <c r="I9" s="8">
        <f t="shared" si="0"/>
        <v>-7.1729693772105696</v>
      </c>
      <c r="J9" s="8">
        <f t="shared" si="4"/>
        <v>144.3041897069223</v>
      </c>
      <c r="K9" s="3">
        <f t="shared" si="1"/>
        <v>21.631321738277673</v>
      </c>
    </row>
    <row r="10" spans="1:11" x14ac:dyDescent="0.25">
      <c r="A10" s="30"/>
      <c r="B10" s="21" t="s">
        <v>10</v>
      </c>
      <c r="C10" s="14"/>
      <c r="D10" s="14">
        <v>22.032232507923698</v>
      </c>
      <c r="E10" s="14">
        <v>22.197575852898598</v>
      </c>
      <c r="F10" s="7">
        <f t="shared" si="2"/>
        <v>22.114904180411148</v>
      </c>
      <c r="G10" s="20">
        <f>GAPDH!F10</f>
        <v>20.786735832016049</v>
      </c>
      <c r="H10" s="12">
        <f t="shared" si="3"/>
        <v>1.3281683483950992</v>
      </c>
      <c r="I10" s="8">
        <f t="shared" si="0"/>
        <v>-4.9797650222274674</v>
      </c>
      <c r="J10" s="8">
        <f t="shared" si="4"/>
        <v>31.554306743375591</v>
      </c>
      <c r="K10" s="3">
        <f t="shared" si="1"/>
        <v>4.7300176299837506</v>
      </c>
    </row>
    <row r="11" spans="1:11" x14ac:dyDescent="0.25">
      <c r="A11" s="30"/>
      <c r="B11" s="21" t="s">
        <v>16</v>
      </c>
      <c r="C11" s="14"/>
      <c r="D11" s="14">
        <v>22.088636973561002</v>
      </c>
      <c r="E11" s="14">
        <v>22.130457872563198</v>
      </c>
      <c r="F11" s="7">
        <f t="shared" si="2"/>
        <v>22.1095474230621</v>
      </c>
      <c r="G11" s="20">
        <f>GAPDH!F11</f>
        <v>20.060528621664364</v>
      </c>
      <c r="H11" s="12">
        <f t="shared" si="3"/>
        <v>2.049018801397736</v>
      </c>
      <c r="I11" s="8">
        <f t="shared" si="0"/>
        <v>-4.2589145692248307</v>
      </c>
      <c r="J11" s="8">
        <f t="shared" si="4"/>
        <v>19.14524967108683</v>
      </c>
      <c r="K11" s="3">
        <f t="shared" si="1"/>
        <v>2.8698893374893313</v>
      </c>
    </row>
    <row r="12" spans="1:11" x14ac:dyDescent="0.25">
      <c r="A12" s="30"/>
      <c r="B12" s="21" t="s">
        <v>17</v>
      </c>
      <c r="C12" s="14"/>
      <c r="D12" s="14">
        <v>23.336746921078099</v>
      </c>
      <c r="E12" s="14">
        <v>23.050407764851901</v>
      </c>
      <c r="F12" s="7">
        <f t="shared" si="2"/>
        <v>23.193577342965</v>
      </c>
      <c r="G12" s="20">
        <f>GAPDH!F12</f>
        <v>21.238924802909299</v>
      </c>
      <c r="H12" s="12">
        <f t="shared" si="3"/>
        <v>1.9546525400557009</v>
      </c>
      <c r="I12" s="8">
        <f t="shared" si="0"/>
        <v>-4.3532808305668658</v>
      </c>
      <c r="J12" s="8">
        <f t="shared" si="4"/>
        <v>20.439398430169433</v>
      </c>
      <c r="K12" s="3">
        <f t="shared" si="1"/>
        <v>3.0638833458529406</v>
      </c>
    </row>
    <row r="13" spans="1:11" x14ac:dyDescent="0.25">
      <c r="A13" s="31"/>
      <c r="B13" s="22" t="s">
        <v>22</v>
      </c>
      <c r="C13" s="14"/>
      <c r="D13" s="14">
        <v>21.991949904518101</v>
      </c>
      <c r="E13" s="14">
        <v>21.691530418689499</v>
      </c>
      <c r="F13" s="7">
        <f t="shared" si="2"/>
        <v>21.841740161603802</v>
      </c>
      <c r="G13" s="20">
        <f>GAPDH!F13</f>
        <v>20.442502804186251</v>
      </c>
      <c r="H13" s="12">
        <f t="shared" si="3"/>
        <v>1.399237357417551</v>
      </c>
      <c r="I13" s="8">
        <f t="shared" si="0"/>
        <v>-4.9086960132050157</v>
      </c>
      <c r="J13" s="8">
        <f t="shared" si="4"/>
        <v>30.037566104089002</v>
      </c>
      <c r="K13" s="3">
        <f t="shared" si="1"/>
        <v>4.50265690796616</v>
      </c>
    </row>
    <row r="14" spans="1:11" x14ac:dyDescent="0.25">
      <c r="A14" s="29" t="s">
        <v>21</v>
      </c>
      <c r="B14" s="19" t="s">
        <v>8</v>
      </c>
      <c r="C14" s="14">
        <v>33.6531903930833</v>
      </c>
      <c r="D14" s="14">
        <v>34.213554596599401</v>
      </c>
      <c r="E14" s="14">
        <v>35.349746614282402</v>
      </c>
      <c r="F14" s="7">
        <f t="shared" si="2"/>
        <v>34.405497201321701</v>
      </c>
      <c r="G14" s="20">
        <f>GAPDH!F14</f>
        <v>33.702315575532673</v>
      </c>
      <c r="H14" s="12">
        <f t="shared" si="3"/>
        <v>0.70318162578902843</v>
      </c>
      <c r="I14" s="8">
        <f t="shared" si="0"/>
        <v>-5.6047517448335382</v>
      </c>
      <c r="J14" s="8">
        <f t="shared" si="4"/>
        <v>48.662945591570718</v>
      </c>
      <c r="K14" s="3">
        <f t="shared" si="1"/>
        <v>7.2946172592871834</v>
      </c>
    </row>
    <row r="15" spans="1:11" x14ac:dyDescent="0.25">
      <c r="A15" s="30"/>
      <c r="B15" s="21" t="s">
        <v>9</v>
      </c>
      <c r="C15" s="14">
        <v>26.169032146761399</v>
      </c>
      <c r="D15" s="14">
        <v>24.9945730018296</v>
      </c>
      <c r="E15" s="14">
        <v>24.8081060639322</v>
      </c>
      <c r="F15" s="7">
        <f t="shared" si="2"/>
        <v>25.323903737507734</v>
      </c>
      <c r="G15" s="20">
        <f>GAPDH!F15</f>
        <v>22.521665880276032</v>
      </c>
      <c r="H15" s="12">
        <f t="shared" si="3"/>
        <v>2.8022378572317024</v>
      </c>
      <c r="I15" s="8">
        <f t="shared" si="0"/>
        <v>-3.5056955133908643</v>
      </c>
      <c r="J15" s="8">
        <f t="shared" si="4"/>
        <v>11.358461366256414</v>
      </c>
      <c r="K15" s="3">
        <f t="shared" si="1"/>
        <v>1.7026430955628953</v>
      </c>
    </row>
    <row r="16" spans="1:11" x14ac:dyDescent="0.25">
      <c r="A16" s="30"/>
      <c r="B16" s="21" t="s">
        <v>10</v>
      </c>
      <c r="C16" s="14">
        <v>26.450545290720601</v>
      </c>
      <c r="D16" s="14">
        <v>26.381719375038401</v>
      </c>
      <c r="E16" s="14"/>
      <c r="F16" s="7">
        <f t="shared" si="2"/>
        <v>26.416132332879499</v>
      </c>
      <c r="G16" s="20">
        <f>GAPDH!F16</f>
        <v>20.784666424968396</v>
      </c>
      <c r="H16" s="12">
        <f t="shared" si="3"/>
        <v>5.6314659079111031</v>
      </c>
      <c r="I16" s="8">
        <f t="shared" si="0"/>
        <v>-0.67646746271146352</v>
      </c>
      <c r="J16" s="8">
        <f t="shared" si="4"/>
        <v>1.5982216055098528</v>
      </c>
      <c r="K16" s="3">
        <f t="shared" si="1"/>
        <v>0.23957478870200755</v>
      </c>
    </row>
    <row r="17" spans="1:11" x14ac:dyDescent="0.25">
      <c r="A17" s="30"/>
      <c r="B17" s="21" t="s">
        <v>16</v>
      </c>
      <c r="C17" s="14"/>
      <c r="D17" s="14">
        <v>27.692265823424801</v>
      </c>
      <c r="E17" s="14">
        <v>26.005257384878099</v>
      </c>
      <c r="F17" s="7">
        <f t="shared" si="2"/>
        <v>26.848761604151449</v>
      </c>
      <c r="G17" s="20">
        <f>GAPDH!F17</f>
        <v>21.597096689038967</v>
      </c>
      <c r="H17" s="12">
        <f t="shared" si="3"/>
        <v>5.2516649151124817</v>
      </c>
      <c r="I17" s="8">
        <f t="shared" si="0"/>
        <v>-1.056268455510085</v>
      </c>
      <c r="J17" s="8">
        <f t="shared" si="4"/>
        <v>2.0795457945262283</v>
      </c>
      <c r="K17" s="3">
        <f t="shared" si="1"/>
        <v>0.31172569723886023</v>
      </c>
    </row>
    <row r="18" spans="1:11" x14ac:dyDescent="0.25">
      <c r="A18" s="30"/>
      <c r="B18" s="21" t="s">
        <v>18</v>
      </c>
      <c r="C18" s="14"/>
      <c r="D18" s="14"/>
      <c r="E18" s="14">
        <v>34.823375174219898</v>
      </c>
      <c r="F18" s="7">
        <f t="shared" si="2"/>
        <v>34.823375174219898</v>
      </c>
      <c r="G18" s="20">
        <f>GAPDH!F18</f>
        <v>35.996443853511899</v>
      </c>
      <c r="H18" s="12">
        <f t="shared" si="3"/>
        <v>-1.1730686792920011</v>
      </c>
      <c r="I18" s="8">
        <f t="shared" si="0"/>
        <v>-7.4810020499145677</v>
      </c>
      <c r="J18" s="8">
        <f t="shared" si="4"/>
        <v>178.65123165165264</v>
      </c>
      <c r="K18" s="3">
        <f t="shared" si="1"/>
        <v>26.779972768947918</v>
      </c>
    </row>
    <row r="19" spans="1:11" x14ac:dyDescent="0.25">
      <c r="A19" s="29" t="s">
        <v>20</v>
      </c>
      <c r="B19" s="24" t="s">
        <v>8</v>
      </c>
      <c r="C19" s="14">
        <v>21.245360700548801</v>
      </c>
      <c r="D19" s="14">
        <v>20.6586281514065</v>
      </c>
      <c r="E19" s="14">
        <v>19.726007921648101</v>
      </c>
      <c r="F19" s="7">
        <f t="shared" si="2"/>
        <v>20.543332257867803</v>
      </c>
      <c r="G19" s="20">
        <f>GAPDH!F19</f>
        <v>18.892011097312736</v>
      </c>
      <c r="H19" s="12">
        <f t="shared" si="3"/>
        <v>1.6513211605550673</v>
      </c>
      <c r="I19" s="8">
        <f t="shared" si="0"/>
        <v>-4.6566122100674994</v>
      </c>
      <c r="J19" s="8">
        <f t="shared" si="4"/>
        <v>25.222025091756485</v>
      </c>
      <c r="K19" s="3">
        <f t="shared" si="1"/>
        <v>3.7808031822136701</v>
      </c>
    </row>
    <row r="20" spans="1:11" x14ac:dyDescent="0.25">
      <c r="A20" s="30"/>
      <c r="B20" s="24" t="s">
        <v>9</v>
      </c>
      <c r="C20" s="14">
        <v>25.8789352510992</v>
      </c>
      <c r="D20" s="14">
        <v>25.4511691621341</v>
      </c>
      <c r="E20" s="14"/>
      <c r="F20" s="7">
        <f t="shared" si="2"/>
        <v>25.66505220661665</v>
      </c>
      <c r="G20" s="20">
        <f>GAPDH!F20</f>
        <v>20.564191870424551</v>
      </c>
      <c r="H20" s="12">
        <f t="shared" si="3"/>
        <v>5.100860336192099</v>
      </c>
      <c r="I20" s="8">
        <f t="shared" si="0"/>
        <v>-1.2070730344304677</v>
      </c>
      <c r="J20" s="8">
        <f t="shared" si="4"/>
        <v>2.3086877061804714</v>
      </c>
      <c r="K20" s="3">
        <f t="shared" si="1"/>
        <v>0.34607426622208748</v>
      </c>
    </row>
    <row r="21" spans="1:11" x14ac:dyDescent="0.25">
      <c r="A21" s="30"/>
      <c r="B21" s="24" t="s">
        <v>10</v>
      </c>
      <c r="C21" s="14">
        <v>24.1855460160082</v>
      </c>
      <c r="D21" s="14">
        <v>23.338293166780801</v>
      </c>
      <c r="E21" s="14">
        <v>22.7572786399598</v>
      </c>
      <c r="F21" s="7">
        <f t="shared" si="2"/>
        <v>23.427039274249598</v>
      </c>
      <c r="G21" s="20">
        <f>GAPDH!F21</f>
        <v>21.228665872900599</v>
      </c>
      <c r="H21" s="12">
        <f t="shared" si="3"/>
        <v>2.1983734013489986</v>
      </c>
      <c r="I21" s="8">
        <f t="shared" si="0"/>
        <v>-4.109559969273568</v>
      </c>
      <c r="J21" s="8">
        <f t="shared" si="4"/>
        <v>17.262385848791766</v>
      </c>
      <c r="K21" s="3">
        <f t="shared" si="1"/>
        <v>2.5876464364886953</v>
      </c>
    </row>
    <row r="22" spans="1:11" x14ac:dyDescent="0.25">
      <c r="A22" s="30"/>
      <c r="B22" s="24" t="s">
        <v>17</v>
      </c>
      <c r="C22" s="14">
        <v>25.051066471288902</v>
      </c>
      <c r="D22" s="14">
        <v>24.230907182709799</v>
      </c>
      <c r="E22" s="14">
        <v>23.935866030460001</v>
      </c>
      <c r="F22" s="7">
        <f t="shared" si="2"/>
        <v>24.405946561486235</v>
      </c>
      <c r="G22" s="20">
        <f>GAPDH!F22</f>
        <v>21.751256545280999</v>
      </c>
      <c r="H22" s="12">
        <f t="shared" si="3"/>
        <v>2.6546900162052367</v>
      </c>
      <c r="I22" s="8">
        <f t="shared" si="0"/>
        <v>-3.6532433544173299</v>
      </c>
      <c r="J22" s="8">
        <f t="shared" si="4"/>
        <v>12.581598764730403</v>
      </c>
      <c r="K22" s="3">
        <f t="shared" si="1"/>
        <v>1.8859924400985348</v>
      </c>
    </row>
    <row r="23" spans="1:11" x14ac:dyDescent="0.25">
      <c r="A23" s="30"/>
      <c r="B23" s="21" t="s">
        <v>18</v>
      </c>
      <c r="C23" s="14">
        <v>20.513578546703599</v>
      </c>
      <c r="D23" s="14">
        <v>19.724710516367299</v>
      </c>
      <c r="E23" s="14">
        <v>18.8597979628248</v>
      </c>
      <c r="F23" s="7">
        <f t="shared" si="2"/>
        <v>19.69936234196523</v>
      </c>
      <c r="G23" s="20">
        <f>GAPDH!F23</f>
        <v>21.227997258011033</v>
      </c>
      <c r="H23" s="12">
        <f t="shared" si="3"/>
        <v>-1.528634916045803</v>
      </c>
      <c r="I23" s="8">
        <f t="shared" si="0"/>
        <v>-7.8365682866683697</v>
      </c>
      <c r="J23" s="8">
        <f t="shared" si="4"/>
        <v>228.58204687453846</v>
      </c>
      <c r="K23" s="3">
        <f t="shared" si="1"/>
        <v>34.264644772819231</v>
      </c>
    </row>
    <row r="24" spans="1:11" x14ac:dyDescent="0.25">
      <c r="A24" s="31"/>
      <c r="B24" s="22" t="s">
        <v>22</v>
      </c>
      <c r="C24" s="14"/>
      <c r="D24" s="14">
        <v>23.824131249093</v>
      </c>
      <c r="E24" s="14">
        <v>23.287630835924901</v>
      </c>
      <c r="F24" s="7">
        <f t="shared" si="2"/>
        <v>23.55588104250895</v>
      </c>
      <c r="G24" s="20">
        <f>GAPDH!F24</f>
        <v>21.106135835714401</v>
      </c>
      <c r="H24" s="12">
        <f t="shared" si="3"/>
        <v>2.4497452067945495</v>
      </c>
      <c r="I24" s="8">
        <f t="shared" si="0"/>
        <v>-3.8581881638280171</v>
      </c>
      <c r="J24" s="8">
        <f t="shared" si="4"/>
        <v>14.502082326314682</v>
      </c>
      <c r="K24" s="3">
        <f t="shared" si="1"/>
        <v>2.1738745722672181</v>
      </c>
    </row>
    <row r="25" spans="1:11" x14ac:dyDescent="0.25">
      <c r="A25" s="26" t="s">
        <v>19</v>
      </c>
      <c r="B25" s="19" t="s">
        <v>8</v>
      </c>
      <c r="C25" s="14"/>
      <c r="D25" s="14">
        <v>19.767902582837699</v>
      </c>
      <c r="E25" s="14">
        <v>19.515006877009299</v>
      </c>
      <c r="F25" s="7">
        <f t="shared" si="2"/>
        <v>19.641454729923499</v>
      </c>
      <c r="G25" s="20">
        <f>GAPDH!F25</f>
        <v>19.217248238632866</v>
      </c>
      <c r="H25" s="12">
        <f t="shared" si="3"/>
        <v>0.42420649129063293</v>
      </c>
      <c r="I25" s="8">
        <f t="shared" si="0"/>
        <v>-5.8837268793319337</v>
      </c>
      <c r="J25" s="8">
        <f>POWER(2,-I25)</f>
        <v>59.044340621032696</v>
      </c>
      <c r="K25" s="3">
        <f t="shared" si="1"/>
        <v>8.8507972733985572</v>
      </c>
    </row>
    <row r="26" spans="1:11" x14ac:dyDescent="0.25">
      <c r="A26" s="27"/>
      <c r="B26" s="21" t="s">
        <v>9</v>
      </c>
      <c r="C26" s="14">
        <v>19.886618509848802</v>
      </c>
      <c r="D26" s="14">
        <v>19.094910554806201</v>
      </c>
      <c r="E26" s="14">
        <v>18.5499455054753</v>
      </c>
      <c r="F26" s="7">
        <f t="shared" si="2"/>
        <v>19.177158190043436</v>
      </c>
      <c r="G26" s="20">
        <f>GAPDH!F26</f>
        <v>19.3055769566454</v>
      </c>
      <c r="H26" s="12">
        <f t="shared" si="3"/>
        <v>-0.12841876660196405</v>
      </c>
      <c r="I26" s="8">
        <f t="shared" si="0"/>
        <v>-6.4363521372245307</v>
      </c>
      <c r="J26" s="8">
        <f t="shared" si="4"/>
        <v>86.603422624317332</v>
      </c>
      <c r="K26" s="3">
        <f t="shared" si="1"/>
        <v>12.981927290034733</v>
      </c>
    </row>
    <row r="27" spans="1:11" x14ac:dyDescent="0.25">
      <c r="A27" s="27"/>
      <c r="B27" s="21" t="s">
        <v>10</v>
      </c>
      <c r="C27" s="14">
        <v>22.5913234564478</v>
      </c>
      <c r="D27" s="14">
        <v>22.037968661338901</v>
      </c>
      <c r="E27" s="14">
        <v>21.838423748814002</v>
      </c>
      <c r="F27" s="7">
        <f t="shared" si="2"/>
        <v>22.155905288866904</v>
      </c>
      <c r="G27" s="20">
        <f>GAPDH!F27</f>
        <v>20.327723146809266</v>
      </c>
      <c r="H27" s="12">
        <f t="shared" si="3"/>
        <v>1.8281821420576385</v>
      </c>
      <c r="I27" s="8">
        <f t="shared" si="0"/>
        <v>-4.4797512285649281</v>
      </c>
      <c r="J27" s="8">
        <f t="shared" si="4"/>
        <v>22.312050946487854</v>
      </c>
      <c r="K27" s="3">
        <f t="shared" si="1"/>
        <v>3.3445955633342872</v>
      </c>
    </row>
    <row r="28" spans="1:11" x14ac:dyDescent="0.25">
      <c r="A28" s="27"/>
      <c r="B28" s="21" t="s">
        <v>16</v>
      </c>
      <c r="C28" s="14">
        <v>24.6557069104128</v>
      </c>
      <c r="D28" s="14">
        <v>24.477984209939699</v>
      </c>
      <c r="E28" s="14">
        <v>23.635871718177199</v>
      </c>
      <c r="F28" s="7">
        <f t="shared" si="2"/>
        <v>24.256520946176565</v>
      </c>
      <c r="G28" s="20">
        <f>GAPDH!F28</f>
        <v>22.923007026111051</v>
      </c>
      <c r="H28" s="12">
        <f t="shared" si="3"/>
        <v>1.3335139200655135</v>
      </c>
      <c r="I28" s="8">
        <f t="shared" si="0"/>
        <v>-4.9744194505570531</v>
      </c>
      <c r="J28" s="8">
        <f t="shared" si="4"/>
        <v>31.437605919913207</v>
      </c>
      <c r="K28" s="3">
        <f t="shared" si="1"/>
        <v>4.7125240765078349</v>
      </c>
    </row>
    <row r="29" spans="1:11" x14ac:dyDescent="0.25">
      <c r="A29" s="27"/>
      <c r="B29" s="21" t="s">
        <v>17</v>
      </c>
      <c r="C29" s="14">
        <v>25.4203636416342</v>
      </c>
      <c r="D29" s="14">
        <v>25.419186535177101</v>
      </c>
      <c r="E29" s="14">
        <v>25.068127580029</v>
      </c>
      <c r="F29" s="7">
        <f t="shared" si="2"/>
        <v>25.302559252280101</v>
      </c>
      <c r="G29" s="20">
        <f>GAPDH!F29</f>
        <v>22.475024702070129</v>
      </c>
      <c r="H29" s="12">
        <f t="shared" si="3"/>
        <v>2.8275345502099718</v>
      </c>
      <c r="I29" s="8">
        <f t="shared" si="0"/>
        <v>-3.4803988204125949</v>
      </c>
      <c r="J29" s="8">
        <f t="shared" si="4"/>
        <v>11.161034274585965</v>
      </c>
      <c r="K29" s="3">
        <f t="shared" si="1"/>
        <v>1.6730486052819866</v>
      </c>
    </row>
    <row r="30" spans="1:11" x14ac:dyDescent="0.25">
      <c r="A30" s="27"/>
      <c r="B30" s="21" t="s">
        <v>18</v>
      </c>
      <c r="C30" s="14">
        <v>25.716384867029898</v>
      </c>
      <c r="D30" s="14">
        <v>24.225715024016498</v>
      </c>
      <c r="E30" s="14">
        <v>23.572725499333799</v>
      </c>
      <c r="F30" s="7">
        <f t="shared" si="2"/>
        <v>24.5049417967934</v>
      </c>
      <c r="G30" s="20">
        <f>GAPDH!F30</f>
        <v>21.140750833179734</v>
      </c>
      <c r="H30" s="12">
        <f t="shared" si="3"/>
        <v>3.364190963613666</v>
      </c>
      <c r="I30" s="8">
        <f t="shared" si="0"/>
        <v>-2.9437424070089007</v>
      </c>
      <c r="J30" s="8">
        <f t="shared" si="4"/>
        <v>7.6940457439117322</v>
      </c>
      <c r="K30" s="3">
        <f t="shared" si="1"/>
        <v>1.1533440525434506</v>
      </c>
    </row>
    <row r="31" spans="1:11" x14ac:dyDescent="0.25">
      <c r="A31" s="27"/>
      <c r="B31" s="22" t="s">
        <v>22</v>
      </c>
      <c r="C31" s="14">
        <v>24.165333181291601</v>
      </c>
      <c r="D31" s="14">
        <v>23.147135948055201</v>
      </c>
      <c r="E31" s="14">
        <v>22.707545942057099</v>
      </c>
      <c r="F31" s="7">
        <f t="shared" si="2"/>
        <v>23.3400050238013</v>
      </c>
      <c r="G31" s="20">
        <f>GAPDH!F31</f>
        <v>20.343775545222034</v>
      </c>
      <c r="H31" s="12">
        <f t="shared" si="3"/>
        <v>2.9962294785792665</v>
      </c>
      <c r="I31" s="8">
        <f t="shared" si="0"/>
        <v>-3.3117038920433002</v>
      </c>
      <c r="J31" s="8">
        <f t="shared" si="4"/>
        <v>9.9293817532389212</v>
      </c>
      <c r="K31" s="3">
        <f t="shared" si="1"/>
        <v>1.4884228365282968</v>
      </c>
    </row>
    <row r="32" spans="1:11" x14ac:dyDescent="0.25">
      <c r="A32" s="21"/>
      <c r="B32" s="21" t="s">
        <v>24</v>
      </c>
      <c r="C32" s="14"/>
      <c r="D32" s="14">
        <v>23.639485351291999</v>
      </c>
      <c r="E32" s="14">
        <v>22.2053550311478</v>
      </c>
      <c r="F32" s="7">
        <f t="shared" si="2"/>
        <v>22.922420191219899</v>
      </c>
      <c r="G32" s="20">
        <f>GAPDH!F32</f>
        <v>20.629437703399034</v>
      </c>
      <c r="H32" s="12">
        <f t="shared" si="3"/>
        <v>2.2929824878208649</v>
      </c>
      <c r="I32" s="8">
        <f t="shared" si="0"/>
        <v>-4.0149508828017018</v>
      </c>
      <c r="J32" s="8">
        <f t="shared" si="4"/>
        <v>16.166672732810724</v>
      </c>
      <c r="K32" s="3">
        <f t="shared" si="1"/>
        <v>2.4233981011300743</v>
      </c>
    </row>
    <row r="33" spans="1:11" x14ac:dyDescent="0.25">
      <c r="A33" s="26" t="s">
        <v>23</v>
      </c>
      <c r="B33" s="19" t="s">
        <v>8</v>
      </c>
      <c r="C33" s="14"/>
      <c r="D33" s="14">
        <v>27.438484508492099</v>
      </c>
      <c r="E33" s="14">
        <v>27.5543052487644</v>
      </c>
      <c r="F33" s="7">
        <f t="shared" si="2"/>
        <v>27.496394878628251</v>
      </c>
      <c r="G33" s="20">
        <f>GAPDH!F33</f>
        <v>18.736274545950966</v>
      </c>
      <c r="H33" s="12">
        <f t="shared" si="3"/>
        <v>8.7601203326772854</v>
      </c>
      <c r="I33" s="8">
        <f t="shared" si="0"/>
        <v>2.4521869620547188</v>
      </c>
      <c r="J33" s="8">
        <f t="shared" si="4"/>
        <v>0.18273349867554883</v>
      </c>
      <c r="K33" s="3">
        <f t="shared" si="1"/>
        <v>2.739190809525275E-2</v>
      </c>
    </row>
    <row r="34" spans="1:11" x14ac:dyDescent="0.25">
      <c r="A34" s="28"/>
      <c r="B34" s="21" t="s">
        <v>9</v>
      </c>
      <c r="C34" s="14"/>
      <c r="D34" s="14">
        <v>27.472037537043001</v>
      </c>
      <c r="E34" s="14">
        <v>27.099652604120301</v>
      </c>
      <c r="F34" s="7">
        <f t="shared" si="2"/>
        <v>27.285845070581651</v>
      </c>
      <c r="G34" s="20">
        <f>GAPDH!F34</f>
        <v>21.223504031128797</v>
      </c>
      <c r="H34" s="12">
        <f t="shared" si="3"/>
        <v>6.0623410394528534</v>
      </c>
      <c r="I34" s="8">
        <f t="shared" si="0"/>
        <v>-0.24559233116971324</v>
      </c>
      <c r="J34" s="8">
        <f t="shared" si="4"/>
        <v>1.1855794375560578</v>
      </c>
      <c r="K34" s="3">
        <f t="shared" si="1"/>
        <v>0.1777193739984054</v>
      </c>
    </row>
    <row r="35" spans="1:11" x14ac:dyDescent="0.25">
      <c r="A35" s="28"/>
      <c r="B35" s="21" t="s">
        <v>10</v>
      </c>
      <c r="C35" s="14">
        <v>28.478346815796201</v>
      </c>
      <c r="D35" s="14">
        <v>28.465534319242</v>
      </c>
      <c r="E35" s="14">
        <v>28.304741948059998</v>
      </c>
      <c r="F35" s="7">
        <f t="shared" si="2"/>
        <v>28.416207694366065</v>
      </c>
      <c r="G35" s="20">
        <f>GAPDH!F35</f>
        <v>20.15666628243655</v>
      </c>
      <c r="H35" s="12">
        <f t="shared" si="3"/>
        <v>8.259541411929515</v>
      </c>
      <c r="I35" s="8">
        <f t="shared" si="0"/>
        <v>1.9516080413069483</v>
      </c>
      <c r="J35" s="8">
        <f t="shared" si="4"/>
        <v>0.25852791269376751</v>
      </c>
      <c r="K35" s="3">
        <f t="shared" si="1"/>
        <v>3.8753555729477071E-2</v>
      </c>
    </row>
    <row r="36" spans="1:11" x14ac:dyDescent="0.25">
      <c r="A36" s="28"/>
      <c r="B36" s="21" t="s">
        <v>16</v>
      </c>
      <c r="C36" s="14"/>
      <c r="D36" s="14">
        <v>23.3593817880054</v>
      </c>
      <c r="E36" s="14">
        <v>23.263699107234</v>
      </c>
      <c r="F36" s="7">
        <f t="shared" si="2"/>
        <v>23.311540447619699</v>
      </c>
      <c r="G36" s="20">
        <f>GAPDH!F36</f>
        <v>20.725415710843169</v>
      </c>
      <c r="H36" s="12">
        <f t="shared" si="3"/>
        <v>2.5861247367765294</v>
      </c>
      <c r="I36" s="8">
        <f t="shared" si="0"/>
        <v>-3.7218086338460372</v>
      </c>
      <c r="J36" s="8">
        <f t="shared" si="4"/>
        <v>13.193986546525256</v>
      </c>
      <c r="K36" s="3">
        <f t="shared" si="1"/>
        <v>1.977789893543916</v>
      </c>
    </row>
    <row r="37" spans="1:11" x14ac:dyDescent="0.25">
      <c r="A37" s="28"/>
      <c r="B37" s="21" t="s">
        <v>18</v>
      </c>
      <c r="C37" s="14"/>
      <c r="D37" s="14">
        <v>26.690392142394298</v>
      </c>
      <c r="E37" s="14">
        <v>26.513510674526501</v>
      </c>
      <c r="F37" s="7">
        <f t="shared" si="2"/>
        <v>26.601951408460401</v>
      </c>
      <c r="G37" s="20">
        <f>GAPDH!F37</f>
        <v>22.257374319086434</v>
      </c>
      <c r="H37" s="12">
        <f t="shared" si="3"/>
        <v>4.344577089373967</v>
      </c>
      <c r="I37" s="8">
        <f t="shared" si="0"/>
        <v>-1.9633562812485996</v>
      </c>
      <c r="J37" s="8">
        <f t="shared" si="4"/>
        <v>3.8996814518315071</v>
      </c>
      <c r="K37" s="3">
        <f t="shared" si="1"/>
        <v>0.58456559253535356</v>
      </c>
    </row>
    <row r="38" spans="1:11" x14ac:dyDescent="0.25">
      <c r="A38" s="28"/>
      <c r="B38" s="22" t="s">
        <v>22</v>
      </c>
      <c r="C38" s="14"/>
      <c r="D38" s="14">
        <v>27.132379826422</v>
      </c>
      <c r="E38" s="14">
        <v>26.480586851745599</v>
      </c>
      <c r="F38" s="7">
        <f t="shared" si="2"/>
        <v>26.806483339083798</v>
      </c>
      <c r="G38" s="20">
        <f>GAPDH!F38</f>
        <v>20.421690789811151</v>
      </c>
      <c r="H38" s="12">
        <f t="shared" si="3"/>
        <v>6.3847925492726461</v>
      </c>
      <c r="I38" s="8">
        <f t="shared" si="0"/>
        <v>7.6859178650079407E-2</v>
      </c>
      <c r="J38" s="8">
        <f t="shared" si="4"/>
        <v>0.94811950648284693</v>
      </c>
      <c r="K38" s="3">
        <f t="shared" si="1"/>
        <v>0.14212392677385777</v>
      </c>
    </row>
    <row r="43" spans="1:11" x14ac:dyDescent="0.25">
      <c r="G43" s="10" t="s">
        <v>13</v>
      </c>
      <c r="H43" s="13">
        <f>AVERAGE(H2:H7)</f>
        <v>6.3079333706225666</v>
      </c>
      <c r="I43" s="10" t="s">
        <v>14</v>
      </c>
      <c r="J43" s="13">
        <f>AVERAGE(J2:J7)</f>
        <v>6.6710759265148853</v>
      </c>
    </row>
  </sheetData>
  <mergeCells count="6">
    <mergeCell ref="A33:A38"/>
    <mergeCell ref="A2:A7"/>
    <mergeCell ref="A8:A13"/>
    <mergeCell ref="A14:A18"/>
    <mergeCell ref="A19:A24"/>
    <mergeCell ref="A25:A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B27B-9CDE-433E-9E41-463674714428}">
  <dimension ref="A1:K43"/>
  <sheetViews>
    <sheetView zoomScale="55" zoomScaleNormal="55" workbookViewId="0">
      <selection activeCell="X52" sqref="X52"/>
    </sheetView>
  </sheetViews>
  <sheetFormatPr baseColWidth="10" defaultRowHeight="15" x14ac:dyDescent="0.25"/>
  <sheetData>
    <row r="1" spans="1:11" ht="15.75" x14ac:dyDescent="0.25">
      <c r="C1" s="4" t="s">
        <v>0</v>
      </c>
      <c r="D1" s="5" t="s">
        <v>2</v>
      </c>
      <c r="E1" s="5" t="s">
        <v>11</v>
      </c>
      <c r="F1" s="6" t="s">
        <v>1</v>
      </c>
      <c r="G1" s="9" t="s">
        <v>12</v>
      </c>
      <c r="H1" s="2" t="s">
        <v>3</v>
      </c>
      <c r="I1" s="1" t="s">
        <v>4</v>
      </c>
      <c r="J1" s="1" t="s">
        <v>5</v>
      </c>
      <c r="K1" s="11" t="s">
        <v>6</v>
      </c>
    </row>
    <row r="2" spans="1:11" x14ac:dyDescent="0.25">
      <c r="A2" s="29" t="s">
        <v>7</v>
      </c>
      <c r="B2" s="19" t="s">
        <v>8</v>
      </c>
      <c r="C2" s="14"/>
      <c r="D2" s="14">
        <v>26.928829067725399</v>
      </c>
      <c r="E2" s="14">
        <v>26.734909141612199</v>
      </c>
      <c r="F2" s="7">
        <f>AVERAGE(C2:E2)</f>
        <v>26.831869104668797</v>
      </c>
      <c r="G2" s="20">
        <f>GAPDH!F2</f>
        <v>19.880113003773932</v>
      </c>
      <c r="H2" s="12">
        <f>(F2-G2)</f>
        <v>6.9517561008948654</v>
      </c>
      <c r="I2" s="8">
        <f t="shared" ref="I2:I38" si="0">(H2-$H$43)</f>
        <v>1.0012454679461369</v>
      </c>
      <c r="J2" s="8">
        <f>POWER(2,-I2)</f>
        <v>0.49956853996725081</v>
      </c>
      <c r="K2" s="3">
        <f t="shared" ref="K2:K38" si="1">(J2/$J$43)</f>
        <v>0.43837514057207227</v>
      </c>
    </row>
    <row r="3" spans="1:11" x14ac:dyDescent="0.25">
      <c r="A3" s="30"/>
      <c r="B3" s="21" t="s">
        <v>9</v>
      </c>
      <c r="C3" s="14"/>
      <c r="D3" s="14">
        <v>25.6291882113509</v>
      </c>
      <c r="E3" s="14">
        <v>25.738553813235399</v>
      </c>
      <c r="F3" s="7">
        <f t="shared" ref="F3:F38" si="2">AVERAGE(C3:E3)</f>
        <v>25.68387101229315</v>
      </c>
      <c r="G3" s="20">
        <f>GAPDH!F3</f>
        <v>18.890015985426199</v>
      </c>
      <c r="H3" s="12">
        <f t="shared" ref="H3:H38" si="3">(F3-G3)</f>
        <v>6.7938550268669502</v>
      </c>
      <c r="I3" s="8">
        <f t="shared" si="0"/>
        <v>0.84334439391822169</v>
      </c>
      <c r="J3" s="8">
        <f t="shared" ref="J3:J38" si="4">POWER(2,-I3)</f>
        <v>0.55735004529084997</v>
      </c>
      <c r="K3" s="3">
        <f t="shared" si="1"/>
        <v>0.48907884485328906</v>
      </c>
    </row>
    <row r="4" spans="1:11" x14ac:dyDescent="0.25">
      <c r="A4" s="30"/>
      <c r="B4" s="21" t="s">
        <v>10</v>
      </c>
      <c r="C4" s="14">
        <v>27.252805741620801</v>
      </c>
      <c r="D4" s="14">
        <v>25.703738860192502</v>
      </c>
      <c r="E4" s="14">
        <v>26.296283754943399</v>
      </c>
      <c r="F4" s="7">
        <f>AVERAGE(C4:E4)</f>
        <v>26.417609452252236</v>
      </c>
      <c r="G4" s="20">
        <f>GAPDH!F4</f>
        <v>20.952034015858999</v>
      </c>
      <c r="H4" s="12">
        <f t="shared" si="3"/>
        <v>5.4655754363932374</v>
      </c>
      <c r="I4" s="8">
        <f t="shared" si="0"/>
        <v>-0.48493519655549111</v>
      </c>
      <c r="J4" s="8">
        <f t="shared" si="4"/>
        <v>1.3995229999545471</v>
      </c>
      <c r="K4" s="3">
        <f t="shared" si="1"/>
        <v>1.2280919288455232</v>
      </c>
    </row>
    <row r="5" spans="1:11" x14ac:dyDescent="0.25">
      <c r="A5" s="30"/>
      <c r="B5" s="21" t="s">
        <v>16</v>
      </c>
      <c r="C5" s="14">
        <v>25.726225387706101</v>
      </c>
      <c r="D5" s="14">
        <v>25.3711620076445</v>
      </c>
      <c r="E5" s="14"/>
      <c r="F5" s="7">
        <f t="shared" si="2"/>
        <v>25.548693697675301</v>
      </c>
      <c r="G5" s="20">
        <f>GAPDH!F5</f>
        <v>20.27004437357235</v>
      </c>
      <c r="H5" s="12">
        <f t="shared" si="3"/>
        <v>5.2786493241029504</v>
      </c>
      <c r="I5" s="8">
        <f t="shared" si="0"/>
        <v>-0.6718613088457781</v>
      </c>
      <c r="J5" s="8">
        <f t="shared" si="4"/>
        <v>1.5931270325189701</v>
      </c>
      <c r="K5" s="3">
        <f t="shared" si="1"/>
        <v>1.3979809194459174</v>
      </c>
    </row>
    <row r="6" spans="1:11" x14ac:dyDescent="0.25">
      <c r="A6" s="30"/>
      <c r="B6" s="21" t="s">
        <v>17</v>
      </c>
      <c r="C6" s="14"/>
      <c r="D6" s="14">
        <v>26.9324716322648</v>
      </c>
      <c r="E6" s="14">
        <v>27.059171080212401</v>
      </c>
      <c r="F6" s="7">
        <f t="shared" si="2"/>
        <v>26.995821356238601</v>
      </c>
      <c r="G6" s="20">
        <f>GAPDH!F6</f>
        <v>20.754525780262398</v>
      </c>
      <c r="H6" s="12">
        <f t="shared" si="3"/>
        <v>6.2412955759762028</v>
      </c>
      <c r="I6" s="8">
        <f t="shared" si="0"/>
        <v>0.29078494302747426</v>
      </c>
      <c r="J6" s="8">
        <f t="shared" si="4"/>
        <v>0.81745717458735601</v>
      </c>
      <c r="K6" s="3">
        <f t="shared" si="1"/>
        <v>0.71732480160754919</v>
      </c>
    </row>
    <row r="7" spans="1:11" x14ac:dyDescent="0.25">
      <c r="A7" s="30"/>
      <c r="B7" s="21" t="s">
        <v>18</v>
      </c>
      <c r="C7" s="14"/>
      <c r="D7" s="14">
        <v>25.178653374865</v>
      </c>
      <c r="E7" s="14">
        <v>25.056032022416002</v>
      </c>
      <c r="F7" s="7">
        <f t="shared" si="2"/>
        <v>25.117342698640499</v>
      </c>
      <c r="G7" s="20">
        <f>GAPDH!F7</f>
        <v>20.145410365182332</v>
      </c>
      <c r="H7" s="12">
        <f t="shared" si="3"/>
        <v>4.9719323334581667</v>
      </c>
      <c r="I7" s="8">
        <f t="shared" si="0"/>
        <v>-0.97857829949056185</v>
      </c>
      <c r="J7" s="8">
        <f t="shared" si="4"/>
        <v>1.9705226049097864</v>
      </c>
      <c r="K7" s="3">
        <f t="shared" si="1"/>
        <v>1.7291483646756496</v>
      </c>
    </row>
    <row r="8" spans="1:11" x14ac:dyDescent="0.25">
      <c r="A8" s="29" t="s">
        <v>15</v>
      </c>
      <c r="B8" s="19" t="s">
        <v>8</v>
      </c>
      <c r="C8" s="14">
        <v>21.1243640224308</v>
      </c>
      <c r="D8" s="14">
        <v>20.978006412762799</v>
      </c>
      <c r="E8" s="14">
        <v>20.6647541404813</v>
      </c>
      <c r="F8" s="7">
        <f t="shared" si="2"/>
        <v>20.9223748585583</v>
      </c>
      <c r="G8" s="20">
        <f>GAPDH!F8</f>
        <v>18.645834194685303</v>
      </c>
      <c r="H8" s="12">
        <f t="shared" si="3"/>
        <v>2.2765406638729964</v>
      </c>
      <c r="I8" s="8">
        <f t="shared" si="0"/>
        <v>-3.6739699690757321</v>
      </c>
      <c r="J8" s="8">
        <f t="shared" si="4"/>
        <v>12.763658147779603</v>
      </c>
      <c r="K8" s="3">
        <f t="shared" si="1"/>
        <v>11.200205751774435</v>
      </c>
    </row>
    <row r="9" spans="1:11" x14ac:dyDescent="0.25">
      <c r="A9" s="30"/>
      <c r="B9" s="21" t="s">
        <v>9</v>
      </c>
      <c r="C9" s="14"/>
      <c r="D9" s="14">
        <v>22.430164869296</v>
      </c>
      <c r="E9" s="14">
        <v>22.468892422859799</v>
      </c>
      <c r="F9" s="7">
        <f t="shared" si="2"/>
        <v>22.449528646077901</v>
      </c>
      <c r="G9" s="20">
        <f>GAPDH!F9</f>
        <v>20.081909751896802</v>
      </c>
      <c r="H9" s="12">
        <f t="shared" si="3"/>
        <v>2.3676188941810992</v>
      </c>
      <c r="I9" s="8">
        <f t="shared" si="0"/>
        <v>-3.5828917387676293</v>
      </c>
      <c r="J9" s="8">
        <f t="shared" si="4"/>
        <v>11.982788241625419</v>
      </c>
      <c r="K9" s="3">
        <f t="shared" si="1"/>
        <v>10.514986552620538</v>
      </c>
    </row>
    <row r="10" spans="1:11" x14ac:dyDescent="0.25">
      <c r="A10" s="30"/>
      <c r="B10" s="21" t="s">
        <v>10</v>
      </c>
      <c r="C10" s="14"/>
      <c r="D10" s="14">
        <v>21.684631375357601</v>
      </c>
      <c r="E10" s="14">
        <v>21.479648604888499</v>
      </c>
      <c r="F10" s="7">
        <f t="shared" si="2"/>
        <v>21.58213999012305</v>
      </c>
      <c r="G10" s="20">
        <f>GAPDH!F10</f>
        <v>20.786735832016049</v>
      </c>
      <c r="H10" s="12">
        <f t="shared" si="3"/>
        <v>0.79540415810700082</v>
      </c>
      <c r="I10" s="8">
        <f t="shared" si="0"/>
        <v>-5.1551064748417277</v>
      </c>
      <c r="J10" s="8">
        <f t="shared" si="4"/>
        <v>35.63212143434265</v>
      </c>
      <c r="K10" s="3">
        <f t="shared" si="1"/>
        <v>31.267453798602073</v>
      </c>
    </row>
    <row r="11" spans="1:11" x14ac:dyDescent="0.25">
      <c r="A11" s="30"/>
      <c r="B11" s="21" t="s">
        <v>16</v>
      </c>
      <c r="C11" s="14"/>
      <c r="D11" s="14">
        <v>21.786984527723</v>
      </c>
      <c r="E11" s="14">
        <v>21.142875549604401</v>
      </c>
      <c r="F11" s="7">
        <f t="shared" si="2"/>
        <v>21.464930038663702</v>
      </c>
      <c r="G11" s="20">
        <f>GAPDH!F11</f>
        <v>20.060528621664364</v>
      </c>
      <c r="H11" s="12">
        <f t="shared" si="3"/>
        <v>1.4044014169993382</v>
      </c>
      <c r="I11" s="8">
        <f t="shared" si="0"/>
        <v>-4.5461092159493903</v>
      </c>
      <c r="J11" s="8">
        <f t="shared" si="4"/>
        <v>23.36228069189702</v>
      </c>
      <c r="K11" s="3">
        <f t="shared" si="1"/>
        <v>20.500576523625654</v>
      </c>
    </row>
    <row r="12" spans="1:11" x14ac:dyDescent="0.25">
      <c r="A12" s="30"/>
      <c r="B12" s="21" t="s">
        <v>17</v>
      </c>
      <c r="C12" s="14">
        <v>22.112268484013001</v>
      </c>
      <c r="D12" s="14">
        <v>21.0346393410723</v>
      </c>
      <c r="E12" s="14">
        <v>20.525480652792599</v>
      </c>
      <c r="F12" s="7">
        <f t="shared" si="2"/>
        <v>21.224129492625966</v>
      </c>
      <c r="G12" s="20">
        <f>GAPDH!F12</f>
        <v>21.238924802909299</v>
      </c>
      <c r="H12" s="12">
        <f t="shared" si="3"/>
        <v>-1.4795310283332697E-2</v>
      </c>
      <c r="I12" s="8">
        <f t="shared" si="0"/>
        <v>-5.9653059432320612</v>
      </c>
      <c r="J12" s="8">
        <f t="shared" si="4"/>
        <v>62.479280871669417</v>
      </c>
      <c r="K12" s="3">
        <f t="shared" si="1"/>
        <v>54.826037557840557</v>
      </c>
    </row>
    <row r="13" spans="1:11" x14ac:dyDescent="0.25">
      <c r="A13" s="31"/>
      <c r="B13" s="22" t="s">
        <v>22</v>
      </c>
      <c r="C13" s="14">
        <v>23.963376055690301</v>
      </c>
      <c r="D13" s="14">
        <v>23.879794529280101</v>
      </c>
      <c r="E13" s="14">
        <v>23.1988280430113</v>
      </c>
      <c r="F13" s="7">
        <f t="shared" si="2"/>
        <v>23.680666209327232</v>
      </c>
      <c r="G13" s="20">
        <f>GAPDH!F13</f>
        <v>20.442502804186251</v>
      </c>
      <c r="H13" s="12">
        <f t="shared" si="3"/>
        <v>3.2381634051409804</v>
      </c>
      <c r="I13" s="8">
        <f t="shared" si="0"/>
        <v>-2.7123472278077481</v>
      </c>
      <c r="J13" s="8">
        <f t="shared" si="4"/>
        <v>6.5538707785326746</v>
      </c>
      <c r="K13" s="3">
        <f t="shared" si="1"/>
        <v>5.7510707620195634</v>
      </c>
    </row>
    <row r="14" spans="1:11" x14ac:dyDescent="0.25">
      <c r="A14" s="29" t="s">
        <v>21</v>
      </c>
      <c r="B14" s="19" t="s">
        <v>8</v>
      </c>
      <c r="C14" s="14">
        <v>28.508525614344101</v>
      </c>
      <c r="D14" s="14">
        <v>28.153130624093201</v>
      </c>
      <c r="E14" s="14"/>
      <c r="F14" s="7">
        <f t="shared" si="2"/>
        <v>28.330828119218651</v>
      </c>
      <c r="G14" s="20">
        <f>GAPDH!F14</f>
        <v>33.702315575532673</v>
      </c>
      <c r="H14" s="12">
        <f t="shared" si="3"/>
        <v>-5.3714874563140214</v>
      </c>
      <c r="I14" s="8">
        <f t="shared" si="0"/>
        <v>-11.321998089262749</v>
      </c>
      <c r="J14" s="8">
        <f t="shared" si="4"/>
        <v>2560.1242050070878</v>
      </c>
      <c r="K14" s="3">
        <f t="shared" si="1"/>
        <v>2246.5281907574058</v>
      </c>
    </row>
    <row r="15" spans="1:11" x14ac:dyDescent="0.25">
      <c r="A15" s="30"/>
      <c r="B15" s="21" t="s">
        <v>9</v>
      </c>
      <c r="C15" s="14">
        <v>22.479863784014402</v>
      </c>
      <c r="D15" s="14">
        <v>22.299678238262999</v>
      </c>
      <c r="E15" s="14">
        <v>22.054005312840602</v>
      </c>
      <c r="F15" s="7">
        <f t="shared" si="2"/>
        <v>22.277849111706001</v>
      </c>
      <c r="G15" s="20">
        <f>GAPDH!F15</f>
        <v>22.521665880276032</v>
      </c>
      <c r="H15" s="12">
        <f t="shared" si="3"/>
        <v>-0.24381676857003143</v>
      </c>
      <c r="I15" s="8">
        <f t="shared" si="0"/>
        <v>-6.1943274015187599</v>
      </c>
      <c r="J15" s="8">
        <f t="shared" si="4"/>
        <v>73.228198619442253</v>
      </c>
      <c r="K15" s="3">
        <f t="shared" si="1"/>
        <v>64.258293498109452</v>
      </c>
    </row>
    <row r="16" spans="1:11" x14ac:dyDescent="0.25">
      <c r="A16" s="30"/>
      <c r="B16" s="21" t="s">
        <v>10</v>
      </c>
      <c r="C16" s="14"/>
      <c r="D16" s="14">
        <v>20.6528266437311</v>
      </c>
      <c r="E16" s="14">
        <v>20.6454005306996</v>
      </c>
      <c r="F16" s="7">
        <f t="shared" si="2"/>
        <v>20.64911358721535</v>
      </c>
      <c r="G16" s="20">
        <f>GAPDH!F16</f>
        <v>20.784666424968396</v>
      </c>
      <c r="H16" s="12">
        <f t="shared" si="3"/>
        <v>-0.13555283775304616</v>
      </c>
      <c r="I16" s="8">
        <f t="shared" si="0"/>
        <v>-6.0860634707017747</v>
      </c>
      <c r="J16" s="8">
        <f t="shared" si="4"/>
        <v>67.934074035244464</v>
      </c>
      <c r="K16" s="3">
        <f t="shared" si="1"/>
        <v>59.612659469681823</v>
      </c>
    </row>
    <row r="17" spans="1:11" x14ac:dyDescent="0.25">
      <c r="A17" s="30"/>
      <c r="B17" s="21" t="s">
        <v>16</v>
      </c>
      <c r="C17" s="14">
        <v>21.793094199931101</v>
      </c>
      <c r="D17" s="14">
        <v>20.5556933100941</v>
      </c>
      <c r="E17" s="14">
        <v>19.992970911763301</v>
      </c>
      <c r="F17" s="7">
        <f t="shared" si="2"/>
        <v>20.780586140596167</v>
      </c>
      <c r="G17" s="20">
        <f>GAPDH!F17</f>
        <v>21.597096689038967</v>
      </c>
      <c r="H17" s="12">
        <f t="shared" si="3"/>
        <v>-0.81651054844279969</v>
      </c>
      <c r="I17" s="8">
        <f t="shared" si="0"/>
        <v>-6.7670211813915282</v>
      </c>
      <c r="J17" s="8">
        <f t="shared" si="4"/>
        <v>108.91215639397288</v>
      </c>
      <c r="K17" s="3">
        <f t="shared" si="1"/>
        <v>95.571234073997658</v>
      </c>
    </row>
    <row r="18" spans="1:11" x14ac:dyDescent="0.25">
      <c r="A18" s="30"/>
      <c r="B18" s="21" t="s">
        <v>18</v>
      </c>
      <c r="C18" s="14">
        <v>35.733237656517197</v>
      </c>
      <c r="D18" s="14">
        <v>34.191950662544002</v>
      </c>
      <c r="E18" s="14">
        <v>33.572715141081403</v>
      </c>
      <c r="F18" s="7">
        <f t="shared" si="2"/>
        <v>34.499301153380863</v>
      </c>
      <c r="G18" s="20">
        <f>GAPDH!F18</f>
        <v>35.996443853511899</v>
      </c>
      <c r="H18" s="12">
        <f t="shared" si="3"/>
        <v>-1.497142700131036</v>
      </c>
      <c r="I18" s="8">
        <f t="shared" si="0"/>
        <v>-7.4476533330797645</v>
      </c>
      <c r="J18" s="8">
        <f t="shared" si="4"/>
        <v>174.56897043725783</v>
      </c>
      <c r="K18" s="3">
        <f t="shared" si="1"/>
        <v>153.18558082134541</v>
      </c>
    </row>
    <row r="19" spans="1:11" x14ac:dyDescent="0.25">
      <c r="A19" s="29" t="s">
        <v>20</v>
      </c>
      <c r="B19" s="24" t="s">
        <v>8</v>
      </c>
      <c r="C19" s="14"/>
      <c r="D19" s="14">
        <v>20.887737161611199</v>
      </c>
      <c r="E19" s="14">
        <v>20.688021363166499</v>
      </c>
      <c r="F19" s="7">
        <f t="shared" si="2"/>
        <v>20.787879262388849</v>
      </c>
      <c r="G19" s="20">
        <f>GAPDH!F19</f>
        <v>18.892011097312736</v>
      </c>
      <c r="H19" s="12">
        <f t="shared" si="3"/>
        <v>1.8958681650761129</v>
      </c>
      <c r="I19" s="8">
        <f t="shared" si="0"/>
        <v>-4.0546424678726156</v>
      </c>
      <c r="J19" s="8">
        <f t="shared" si="4"/>
        <v>16.617626922472411</v>
      </c>
      <c r="K19" s="3">
        <f t="shared" si="1"/>
        <v>14.582092256231041</v>
      </c>
    </row>
    <row r="20" spans="1:11" x14ac:dyDescent="0.25">
      <c r="A20" s="30"/>
      <c r="B20" s="24" t="s">
        <v>9</v>
      </c>
      <c r="C20" s="14">
        <v>21.235391670895201</v>
      </c>
      <c r="D20" s="14">
        <v>21.167905647210301</v>
      </c>
      <c r="E20" s="14">
        <v>21.159142945396901</v>
      </c>
      <c r="F20" s="7">
        <f t="shared" si="2"/>
        <v>21.187480087834135</v>
      </c>
      <c r="G20" s="20">
        <f>GAPDH!F20</f>
        <v>20.564191870424551</v>
      </c>
      <c r="H20" s="12">
        <f t="shared" si="3"/>
        <v>0.62328821740958418</v>
      </c>
      <c r="I20" s="8">
        <f t="shared" si="0"/>
        <v>-5.3272224155391443</v>
      </c>
      <c r="J20" s="8">
        <f t="shared" si="4"/>
        <v>40.147059407420222</v>
      </c>
      <c r="K20" s="3">
        <f t="shared" si="1"/>
        <v>35.229345731892785</v>
      </c>
    </row>
    <row r="21" spans="1:11" x14ac:dyDescent="0.25">
      <c r="A21" s="30"/>
      <c r="B21" s="24" t="s">
        <v>10</v>
      </c>
      <c r="C21" s="14"/>
      <c r="D21" s="14">
        <v>21.747230539240402</v>
      </c>
      <c r="E21" s="14">
        <v>21.625109537658201</v>
      </c>
      <c r="F21" s="7">
        <f t="shared" si="2"/>
        <v>21.686170038449301</v>
      </c>
      <c r="G21" s="20">
        <f>GAPDH!F21</f>
        <v>21.228665872900599</v>
      </c>
      <c r="H21" s="12">
        <f t="shared" si="3"/>
        <v>0.45750416554870199</v>
      </c>
      <c r="I21" s="8">
        <f t="shared" si="0"/>
        <v>-5.4930064674000265</v>
      </c>
      <c r="J21" s="8">
        <f t="shared" si="4"/>
        <v>45.035989900002122</v>
      </c>
      <c r="K21" s="3">
        <f t="shared" si="1"/>
        <v>39.519418905982519</v>
      </c>
    </row>
    <row r="22" spans="1:11" x14ac:dyDescent="0.25">
      <c r="A22" s="30"/>
      <c r="B22" s="24" t="s">
        <v>17</v>
      </c>
      <c r="C22" s="14"/>
      <c r="D22" s="14">
        <v>21.779806219129402</v>
      </c>
      <c r="E22" s="14">
        <v>21.519745713130899</v>
      </c>
      <c r="F22" s="7">
        <f t="shared" si="2"/>
        <v>21.64977596613015</v>
      </c>
      <c r="G22" s="20">
        <f>GAPDH!F22</f>
        <v>21.751256545280999</v>
      </c>
      <c r="H22" s="12">
        <f t="shared" si="3"/>
        <v>-0.10148057915084863</v>
      </c>
      <c r="I22" s="8">
        <f t="shared" si="0"/>
        <v>-6.0519912120995771</v>
      </c>
      <c r="J22" s="8">
        <f t="shared" si="4"/>
        <v>66.348466315060975</v>
      </c>
      <c r="K22" s="3">
        <f t="shared" si="1"/>
        <v>58.22127680320493</v>
      </c>
    </row>
    <row r="23" spans="1:11" x14ac:dyDescent="0.25">
      <c r="A23" s="30"/>
      <c r="B23" s="21" t="s">
        <v>18</v>
      </c>
      <c r="C23" s="14">
        <v>23.562149819815001</v>
      </c>
      <c r="D23" s="14">
        <v>22.406567621282498</v>
      </c>
      <c r="E23" s="14">
        <v>21.9926441791945</v>
      </c>
      <c r="F23" s="7">
        <f t="shared" si="2"/>
        <v>22.653787206763997</v>
      </c>
      <c r="G23" s="20">
        <f>GAPDH!F23</f>
        <v>21.227997258011033</v>
      </c>
      <c r="H23" s="12">
        <f t="shared" si="3"/>
        <v>1.4257899487529642</v>
      </c>
      <c r="I23" s="8">
        <f t="shared" si="0"/>
        <v>-4.5247206841957643</v>
      </c>
      <c r="J23" s="8">
        <f t="shared" si="4"/>
        <v>23.018480310689657</v>
      </c>
      <c r="K23" s="3">
        <f t="shared" si="1"/>
        <v>20.198889110622446</v>
      </c>
    </row>
    <row r="24" spans="1:11" x14ac:dyDescent="0.25">
      <c r="A24" s="31"/>
      <c r="B24" s="22" t="s">
        <v>22</v>
      </c>
      <c r="C24" s="14">
        <v>24.713832286428399</v>
      </c>
      <c r="D24" s="14">
        <v>23.125471745063201</v>
      </c>
      <c r="E24" s="14">
        <v>24.086516749400602</v>
      </c>
      <c r="F24" s="7">
        <f t="shared" si="2"/>
        <v>23.975273593630732</v>
      </c>
      <c r="G24" s="20">
        <f>GAPDH!F24</f>
        <v>21.106135835714401</v>
      </c>
      <c r="H24" s="12">
        <f t="shared" si="3"/>
        <v>2.8691377579163309</v>
      </c>
      <c r="I24" s="8">
        <f t="shared" si="0"/>
        <v>-3.0813728750323977</v>
      </c>
      <c r="J24" s="8">
        <f t="shared" si="4"/>
        <v>8.4641950590773778</v>
      </c>
      <c r="K24" s="3">
        <f t="shared" si="1"/>
        <v>7.4273946455790156</v>
      </c>
    </row>
    <row r="25" spans="1:11" x14ac:dyDescent="0.25">
      <c r="A25" s="26" t="s">
        <v>19</v>
      </c>
      <c r="B25" s="19" t="s">
        <v>8</v>
      </c>
      <c r="C25" s="14">
        <v>20.936852600892198</v>
      </c>
      <c r="D25" s="14">
        <v>20.478358797619698</v>
      </c>
      <c r="E25" s="14">
        <v>20.493822780206301</v>
      </c>
      <c r="F25" s="7">
        <f t="shared" si="2"/>
        <v>20.6363447262394</v>
      </c>
      <c r="G25" s="20">
        <f>GAPDH!F25</f>
        <v>19.217248238632866</v>
      </c>
      <c r="H25" s="12">
        <f t="shared" si="3"/>
        <v>1.4190964876065344</v>
      </c>
      <c r="I25" s="8">
        <f t="shared" si="0"/>
        <v>-4.5314141453421941</v>
      </c>
      <c r="J25" s="8">
        <f>POWER(2,-I25)</f>
        <v>23.125523911941919</v>
      </c>
      <c r="K25" s="3">
        <f t="shared" si="1"/>
        <v>20.292820673545478</v>
      </c>
    </row>
    <row r="26" spans="1:11" x14ac:dyDescent="0.25">
      <c r="A26" s="27"/>
      <c r="B26" s="21" t="s">
        <v>9</v>
      </c>
      <c r="C26" s="14">
        <v>21.725128040447601</v>
      </c>
      <c r="D26" s="14">
        <v>21.186865924774999</v>
      </c>
      <c r="E26" s="14">
        <v>21.412725143787998</v>
      </c>
      <c r="F26" s="7">
        <f t="shared" si="2"/>
        <v>21.441573036336866</v>
      </c>
      <c r="G26" s="20">
        <f>GAPDH!F26</f>
        <v>19.3055769566454</v>
      </c>
      <c r="H26" s="12">
        <f t="shared" si="3"/>
        <v>2.1359960796914663</v>
      </c>
      <c r="I26" s="8">
        <f t="shared" si="0"/>
        <v>-3.8145145532572622</v>
      </c>
      <c r="J26" s="8">
        <f t="shared" si="4"/>
        <v>14.069650177279657</v>
      </c>
      <c r="K26" s="3">
        <f t="shared" si="1"/>
        <v>12.34622355256634</v>
      </c>
    </row>
    <row r="27" spans="1:11" x14ac:dyDescent="0.25">
      <c r="A27" s="27"/>
      <c r="B27" s="21" t="s">
        <v>10</v>
      </c>
      <c r="C27" s="14">
        <v>22.2698622156677</v>
      </c>
      <c r="D27" s="14">
        <v>21.495473914495498</v>
      </c>
      <c r="E27" s="14">
        <v>21.615063043126199</v>
      </c>
      <c r="F27" s="7">
        <f t="shared" si="2"/>
        <v>21.793466391096462</v>
      </c>
      <c r="G27" s="20">
        <f>GAPDH!F27</f>
        <v>20.327723146809266</v>
      </c>
      <c r="H27" s="12">
        <f t="shared" si="3"/>
        <v>1.4657432442871965</v>
      </c>
      <c r="I27" s="8">
        <f t="shared" si="0"/>
        <v>-4.484767388661532</v>
      </c>
      <c r="J27" s="8">
        <f t="shared" si="4"/>
        <v>22.389763569728</v>
      </c>
      <c r="K27" s="3">
        <f t="shared" si="1"/>
        <v>19.647185455069696</v>
      </c>
    </row>
    <row r="28" spans="1:11" x14ac:dyDescent="0.25">
      <c r="A28" s="27"/>
      <c r="B28" s="21" t="s">
        <v>16</v>
      </c>
      <c r="C28" s="14">
        <v>23.107418436367901</v>
      </c>
      <c r="D28" s="14">
        <v>23.540339586032601</v>
      </c>
      <c r="E28" s="14"/>
      <c r="F28" s="7">
        <f t="shared" si="2"/>
        <v>23.323879011200251</v>
      </c>
      <c r="G28" s="20">
        <f>GAPDH!F28</f>
        <v>22.923007026111051</v>
      </c>
      <c r="H28" s="12">
        <f t="shared" si="3"/>
        <v>0.40087198508919997</v>
      </c>
      <c r="I28" s="8">
        <f t="shared" si="0"/>
        <v>-5.5496386478595285</v>
      </c>
      <c r="J28" s="8">
        <f t="shared" si="4"/>
        <v>46.839009024135926</v>
      </c>
      <c r="K28" s="3">
        <f t="shared" si="1"/>
        <v>41.101581710005583</v>
      </c>
    </row>
    <row r="29" spans="1:11" x14ac:dyDescent="0.25">
      <c r="A29" s="27"/>
      <c r="B29" s="21" t="s">
        <v>17</v>
      </c>
      <c r="C29" s="14"/>
      <c r="D29" s="14">
        <v>22.677292343689199</v>
      </c>
      <c r="E29" s="14">
        <v>22.4106469316553</v>
      </c>
      <c r="F29" s="7">
        <f t="shared" si="2"/>
        <v>22.543969637672248</v>
      </c>
      <c r="G29" s="20">
        <f>GAPDH!F29</f>
        <v>22.475024702070129</v>
      </c>
      <c r="H29" s="12">
        <f t="shared" si="3"/>
        <v>6.8944935602118562E-2</v>
      </c>
      <c r="I29" s="8">
        <f t="shared" si="0"/>
        <v>-5.8815656973466099</v>
      </c>
      <c r="J29" s="8">
        <f t="shared" si="4"/>
        <v>58.955957399552354</v>
      </c>
      <c r="K29" s="3">
        <f t="shared" si="1"/>
        <v>51.734294786225178</v>
      </c>
    </row>
    <row r="30" spans="1:11" x14ac:dyDescent="0.25">
      <c r="A30" s="27"/>
      <c r="B30" s="21" t="s">
        <v>18</v>
      </c>
      <c r="C30" s="14">
        <v>22.080594143771101</v>
      </c>
      <c r="D30" s="14"/>
      <c r="E30" s="14">
        <v>22.343585657888099</v>
      </c>
      <c r="F30" s="7">
        <f t="shared" si="2"/>
        <v>22.2120899008296</v>
      </c>
      <c r="G30" s="20">
        <f>GAPDH!F30</f>
        <v>21.140750833179734</v>
      </c>
      <c r="H30" s="12">
        <f t="shared" si="3"/>
        <v>1.0713390676498662</v>
      </c>
      <c r="I30" s="8">
        <f t="shared" si="0"/>
        <v>-4.8791715652988623</v>
      </c>
      <c r="J30" s="8">
        <f t="shared" si="4"/>
        <v>29.4291009775507</v>
      </c>
      <c r="K30" s="3">
        <f t="shared" si="1"/>
        <v>25.824256825278109</v>
      </c>
    </row>
    <row r="31" spans="1:11" x14ac:dyDescent="0.25">
      <c r="A31" s="27"/>
      <c r="B31" s="22" t="s">
        <v>22</v>
      </c>
      <c r="C31" s="14">
        <v>24.119648875996202</v>
      </c>
      <c r="D31" s="14">
        <v>24.061678017632001</v>
      </c>
      <c r="E31" s="14"/>
      <c r="F31" s="7">
        <f t="shared" si="2"/>
        <v>24.090663446814101</v>
      </c>
      <c r="G31" s="20">
        <f>GAPDH!F31</f>
        <v>20.343775545222034</v>
      </c>
      <c r="H31" s="12">
        <f t="shared" si="3"/>
        <v>3.7468879015920677</v>
      </c>
      <c r="I31" s="8">
        <f t="shared" si="0"/>
        <v>-2.2036227313566608</v>
      </c>
      <c r="J31" s="8">
        <f t="shared" si="4"/>
        <v>4.6063458400263846</v>
      </c>
      <c r="K31" s="3">
        <f t="shared" si="1"/>
        <v>4.0421030220948708</v>
      </c>
    </row>
    <row r="32" spans="1:11" x14ac:dyDescent="0.25">
      <c r="A32" s="21"/>
      <c r="B32" s="21" t="s">
        <v>24</v>
      </c>
      <c r="C32" s="14">
        <v>23.7182494177294</v>
      </c>
      <c r="D32" s="14">
        <v>23.296641668843801</v>
      </c>
      <c r="E32" s="14"/>
      <c r="F32" s="7">
        <f t="shared" si="2"/>
        <v>23.5074455432866</v>
      </c>
      <c r="G32" s="20">
        <f>GAPDH!F32</f>
        <v>20.629437703399034</v>
      </c>
      <c r="H32" s="12">
        <f t="shared" si="3"/>
        <v>2.8780078398875659</v>
      </c>
      <c r="I32" s="8">
        <f t="shared" si="0"/>
        <v>-3.0725027930611626</v>
      </c>
      <c r="J32" s="8">
        <f t="shared" si="4"/>
        <v>8.412314534198007</v>
      </c>
      <c r="K32" s="3">
        <f t="shared" si="1"/>
        <v>7.3818690958948059</v>
      </c>
    </row>
    <row r="33" spans="1:11" x14ac:dyDescent="0.25">
      <c r="A33" s="26" t="s">
        <v>23</v>
      </c>
      <c r="B33" s="19" t="s">
        <v>8</v>
      </c>
      <c r="C33" s="14">
        <v>27.304921033291901</v>
      </c>
      <c r="D33" s="14">
        <v>26.552724390751699</v>
      </c>
      <c r="E33" s="14">
        <v>27.0076237770344</v>
      </c>
      <c r="F33" s="7">
        <f t="shared" si="2"/>
        <v>26.955089733692663</v>
      </c>
      <c r="G33" s="20">
        <f>GAPDH!F33</f>
        <v>18.736274545950966</v>
      </c>
      <c r="H33" s="12">
        <f t="shared" si="3"/>
        <v>8.2188151877416971</v>
      </c>
      <c r="I33" s="8">
        <f t="shared" si="0"/>
        <v>2.2683045547929686</v>
      </c>
      <c r="J33" s="8">
        <f t="shared" si="4"/>
        <v>0.20757368232389745</v>
      </c>
      <c r="K33" s="3">
        <f t="shared" si="1"/>
        <v>0.18214746303633611</v>
      </c>
    </row>
    <row r="34" spans="1:11" x14ac:dyDescent="0.25">
      <c r="A34" s="28"/>
      <c r="B34" s="21" t="s">
        <v>9</v>
      </c>
      <c r="C34" s="14">
        <v>27.385348351640801</v>
      </c>
      <c r="D34" s="14">
        <v>27.922788613230999</v>
      </c>
      <c r="E34" s="14">
        <v>26.580662009051199</v>
      </c>
      <c r="F34" s="7">
        <f t="shared" si="2"/>
        <v>27.296266324641</v>
      </c>
      <c r="G34" s="20">
        <f>GAPDH!F34</f>
        <v>21.223504031128797</v>
      </c>
      <c r="H34" s="12">
        <f t="shared" si="3"/>
        <v>6.0727622935122021</v>
      </c>
      <c r="I34" s="8">
        <f t="shared" si="0"/>
        <v>0.12225166056347359</v>
      </c>
      <c r="J34" s="8">
        <f t="shared" si="4"/>
        <v>0.91875260430782779</v>
      </c>
      <c r="K34" s="3">
        <f t="shared" si="1"/>
        <v>0.80621230090030149</v>
      </c>
    </row>
    <row r="35" spans="1:11" x14ac:dyDescent="0.25">
      <c r="A35" s="28"/>
      <c r="B35" s="21" t="s">
        <v>10</v>
      </c>
      <c r="C35" s="14">
        <v>27.503054130674599</v>
      </c>
      <c r="D35" s="14">
        <v>26.0251338859204</v>
      </c>
      <c r="E35" s="14">
        <v>26.5746490292779</v>
      </c>
      <c r="F35" s="7">
        <f t="shared" si="2"/>
        <v>26.700945681957631</v>
      </c>
      <c r="G35" s="20">
        <f>GAPDH!F35</f>
        <v>20.15666628243655</v>
      </c>
      <c r="H35" s="12">
        <f t="shared" si="3"/>
        <v>6.5442793995210806</v>
      </c>
      <c r="I35" s="8">
        <f t="shared" si="0"/>
        <v>0.59376876657235211</v>
      </c>
      <c r="J35" s="8">
        <f t="shared" si="4"/>
        <v>0.66260970229898042</v>
      </c>
      <c r="K35" s="3">
        <f t="shared" si="1"/>
        <v>0.58144498332256134</v>
      </c>
    </row>
    <row r="36" spans="1:11" x14ac:dyDescent="0.25">
      <c r="A36" s="28"/>
      <c r="B36" s="21" t="s">
        <v>16</v>
      </c>
      <c r="C36" s="14"/>
      <c r="D36" s="14">
        <v>22.159725988359298</v>
      </c>
      <c r="E36" s="14">
        <v>22.107942744649101</v>
      </c>
      <c r="F36" s="7">
        <f t="shared" si="2"/>
        <v>22.1338343665042</v>
      </c>
      <c r="G36" s="20">
        <f>GAPDH!F36</f>
        <v>20.725415710843169</v>
      </c>
      <c r="H36" s="12">
        <f t="shared" si="3"/>
        <v>1.4084186556610305</v>
      </c>
      <c r="I36" s="8">
        <f t="shared" si="0"/>
        <v>-4.542091977287698</v>
      </c>
      <c r="J36" s="8">
        <f t="shared" si="4"/>
        <v>23.297318029139131</v>
      </c>
      <c r="K36" s="3">
        <f t="shared" si="1"/>
        <v>20.443571299837355</v>
      </c>
    </row>
    <row r="37" spans="1:11" x14ac:dyDescent="0.25">
      <c r="A37" s="28"/>
      <c r="B37" s="21" t="s">
        <v>18</v>
      </c>
      <c r="C37" s="14">
        <v>22.673143006970101</v>
      </c>
      <c r="D37" s="14">
        <v>22.0329373539074</v>
      </c>
      <c r="E37" s="14">
        <v>22.351038448916999</v>
      </c>
      <c r="F37" s="7">
        <f t="shared" si="2"/>
        <v>22.352372936598169</v>
      </c>
      <c r="G37" s="20">
        <f>GAPDH!F37</f>
        <v>22.257374319086434</v>
      </c>
      <c r="H37" s="12">
        <f t="shared" si="3"/>
        <v>9.4998617511734551E-2</v>
      </c>
      <c r="I37" s="8">
        <f t="shared" si="0"/>
        <v>-5.855512015436994</v>
      </c>
      <c r="J37" s="8">
        <f t="shared" si="4"/>
        <v>57.900825639974002</v>
      </c>
      <c r="K37" s="3">
        <f t="shared" si="1"/>
        <v>50.808408753734938</v>
      </c>
    </row>
    <row r="38" spans="1:11" x14ac:dyDescent="0.25">
      <c r="A38" s="28"/>
      <c r="B38" s="22" t="s">
        <v>22</v>
      </c>
      <c r="C38" s="14"/>
      <c r="D38" s="14">
        <v>23.710416263068499</v>
      </c>
      <c r="E38" s="14">
        <v>23.596338179378801</v>
      </c>
      <c r="F38" s="7">
        <f t="shared" si="2"/>
        <v>23.65337722122365</v>
      </c>
      <c r="G38" s="20">
        <f>GAPDH!F38</f>
        <v>20.421690789811151</v>
      </c>
      <c r="H38" s="12">
        <f t="shared" si="3"/>
        <v>3.2316864314124985</v>
      </c>
      <c r="I38" s="8">
        <f t="shared" si="0"/>
        <v>-2.7188242015362301</v>
      </c>
      <c r="J38" s="8">
        <f t="shared" si="4"/>
        <v>6.5833605031613098</v>
      </c>
      <c r="K38" s="3">
        <f t="shared" si="1"/>
        <v>5.7769482165533441</v>
      </c>
    </row>
    <row r="43" spans="1:11" x14ac:dyDescent="0.25">
      <c r="G43" s="10" t="s">
        <v>13</v>
      </c>
      <c r="H43" s="13">
        <f>AVERAGE(H2:H7)</f>
        <v>5.9505106329487285</v>
      </c>
      <c r="I43" s="10" t="s">
        <v>14</v>
      </c>
      <c r="J43" s="13">
        <f>AVERAGE(J2:J7)</f>
        <v>1.1395913995381266</v>
      </c>
    </row>
  </sheetData>
  <mergeCells count="6">
    <mergeCell ref="A33:A38"/>
    <mergeCell ref="A2:A7"/>
    <mergeCell ref="A8:A13"/>
    <mergeCell ref="A14:A18"/>
    <mergeCell ref="A19:A24"/>
    <mergeCell ref="A25:A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A041-F1E5-4855-BF49-A4A4E16803C8}">
  <dimension ref="A1:K43"/>
  <sheetViews>
    <sheetView zoomScale="55" zoomScaleNormal="55" workbookViewId="0">
      <selection activeCell="AF69" sqref="AF69"/>
    </sheetView>
  </sheetViews>
  <sheetFormatPr baseColWidth="10" defaultRowHeight="15" x14ac:dyDescent="0.25"/>
  <sheetData>
    <row r="1" spans="1:11" ht="15.75" x14ac:dyDescent="0.25">
      <c r="C1" s="4" t="s">
        <v>0</v>
      </c>
      <c r="D1" s="5" t="s">
        <v>2</v>
      </c>
      <c r="E1" s="5" t="s">
        <v>11</v>
      </c>
      <c r="F1" s="6" t="s">
        <v>1</v>
      </c>
      <c r="G1" s="9" t="s">
        <v>12</v>
      </c>
      <c r="H1" s="2" t="s">
        <v>3</v>
      </c>
      <c r="I1" s="1" t="s">
        <v>4</v>
      </c>
      <c r="J1" s="1" t="s">
        <v>5</v>
      </c>
      <c r="K1" s="11" t="s">
        <v>6</v>
      </c>
    </row>
    <row r="2" spans="1:11" x14ac:dyDescent="0.25">
      <c r="A2" s="29" t="s">
        <v>7</v>
      </c>
      <c r="B2" s="19" t="s">
        <v>8</v>
      </c>
      <c r="C2" s="14">
        <v>26.7866099324252</v>
      </c>
      <c r="D2" s="14">
        <v>26.653437513273001</v>
      </c>
      <c r="E2" s="14">
        <v>26.162687749063799</v>
      </c>
      <c r="F2" s="7">
        <f>AVERAGE(C2:E2)</f>
        <v>26.534245064920668</v>
      </c>
      <c r="G2" s="20">
        <f>GAPDH!F2</f>
        <v>19.880113003773932</v>
      </c>
      <c r="H2" s="12">
        <f>(F2-G2)</f>
        <v>6.6541320611467363</v>
      </c>
      <c r="I2" s="8">
        <f t="shared" ref="I2:I38" si="0">(H2-$H$43)</f>
        <v>1.7324818262021227</v>
      </c>
      <c r="J2" s="8">
        <f>POWER(2,-I2)</f>
        <v>0.30093382370565869</v>
      </c>
      <c r="K2" s="3">
        <f t="shared" ref="K2:K38" si="1">(J2/$J$43)</f>
        <v>0.20846462362891596</v>
      </c>
    </row>
    <row r="3" spans="1:11" x14ac:dyDescent="0.25">
      <c r="A3" s="30"/>
      <c r="B3" s="21" t="s">
        <v>9</v>
      </c>
      <c r="C3" s="14"/>
      <c r="D3" s="14">
        <v>25.425255234187699</v>
      </c>
      <c r="E3" s="14">
        <v>25.474766902889399</v>
      </c>
      <c r="F3" s="7">
        <f t="shared" ref="F3:F38" si="2">AVERAGE(C3:E3)</f>
        <v>25.450011068538551</v>
      </c>
      <c r="G3" s="20">
        <f>GAPDH!F3</f>
        <v>18.890015985426199</v>
      </c>
      <c r="H3" s="12">
        <f t="shared" ref="H3:H38" si="3">(F3-G3)</f>
        <v>6.5599950831123515</v>
      </c>
      <c r="I3" s="8">
        <f t="shared" si="0"/>
        <v>1.6383448481677378</v>
      </c>
      <c r="J3" s="8">
        <f t="shared" ref="J3:J38" si="4">POWER(2,-I3)</f>
        <v>0.32122479265582254</v>
      </c>
      <c r="K3" s="3">
        <f t="shared" si="1"/>
        <v>0.22252070131794044</v>
      </c>
    </row>
    <row r="4" spans="1:11" x14ac:dyDescent="0.25">
      <c r="A4" s="30"/>
      <c r="B4" s="21" t="s">
        <v>10</v>
      </c>
      <c r="C4" s="14">
        <v>25.5029728607478</v>
      </c>
      <c r="D4" s="14">
        <v>25.1109723135623</v>
      </c>
      <c r="E4" s="14">
        <v>24.906997247386201</v>
      </c>
      <c r="F4" s="7">
        <f>AVERAGE(C4:E4)</f>
        <v>25.173647473898768</v>
      </c>
      <c r="G4" s="20">
        <f>GAPDH!F4</f>
        <v>20.952034015858999</v>
      </c>
      <c r="H4" s="12">
        <f t="shared" si="3"/>
        <v>4.2216134580397693</v>
      </c>
      <c r="I4" s="8">
        <f t="shared" si="0"/>
        <v>-0.70003677690484434</v>
      </c>
      <c r="J4" s="8">
        <f t="shared" si="4"/>
        <v>1.6245462048044159</v>
      </c>
      <c r="K4" s="3">
        <f t="shared" si="1"/>
        <v>1.1253650685792562</v>
      </c>
    </row>
    <row r="5" spans="1:11" x14ac:dyDescent="0.25">
      <c r="A5" s="30"/>
      <c r="B5" s="21" t="s">
        <v>16</v>
      </c>
      <c r="C5" s="14">
        <v>26.0612301272301</v>
      </c>
      <c r="D5" s="14">
        <v>25.358931282294201</v>
      </c>
      <c r="E5" s="14">
        <v>24.7066266101331</v>
      </c>
      <c r="F5" s="7">
        <f t="shared" si="2"/>
        <v>25.375596006552467</v>
      </c>
      <c r="G5" s="20">
        <f>GAPDH!F5</f>
        <v>20.27004437357235</v>
      </c>
      <c r="H5" s="12">
        <f t="shared" si="3"/>
        <v>5.1055516329801165</v>
      </c>
      <c r="I5" s="8">
        <f t="shared" si="0"/>
        <v>0.18390139803550287</v>
      </c>
      <c r="J5" s="8">
        <f t="shared" si="4"/>
        <v>0.88031917751440303</v>
      </c>
      <c r="K5" s="3">
        <f t="shared" si="1"/>
        <v>0.60981980607587682</v>
      </c>
    </row>
    <row r="6" spans="1:11" x14ac:dyDescent="0.25">
      <c r="A6" s="30"/>
      <c r="B6" s="21" t="s">
        <v>17</v>
      </c>
      <c r="C6" s="14">
        <v>25.826243922252502</v>
      </c>
      <c r="D6" s="14">
        <v>23.729758977184499</v>
      </c>
      <c r="E6" s="14">
        <v>24.228305547098302</v>
      </c>
      <c r="F6" s="7">
        <f t="shared" si="2"/>
        <v>24.594769482178435</v>
      </c>
      <c r="G6" s="20">
        <f>GAPDH!F6</f>
        <v>20.754525780262398</v>
      </c>
      <c r="H6" s="12">
        <f t="shared" si="3"/>
        <v>3.8402437019160374</v>
      </c>
      <c r="I6" s="8">
        <f t="shared" si="0"/>
        <v>-1.0814065330285763</v>
      </c>
      <c r="J6" s="8">
        <f t="shared" si="4"/>
        <v>2.1160981326468433</v>
      </c>
      <c r="K6" s="3">
        <f t="shared" si="1"/>
        <v>1.4658757707991772</v>
      </c>
    </row>
    <row r="7" spans="1:11" x14ac:dyDescent="0.25">
      <c r="A7" s="30"/>
      <c r="B7" s="21" t="s">
        <v>18</v>
      </c>
      <c r="C7" s="14">
        <v>23.284950849524702</v>
      </c>
      <c r="D7" s="14">
        <v>23.302600825785301</v>
      </c>
      <c r="E7" s="14"/>
      <c r="F7" s="7">
        <f t="shared" si="2"/>
        <v>23.293775837655001</v>
      </c>
      <c r="G7" s="20">
        <f>GAPDH!F7</f>
        <v>20.145410365182332</v>
      </c>
      <c r="H7" s="12">
        <f t="shared" si="3"/>
        <v>3.1483654724726691</v>
      </c>
      <c r="I7" s="8">
        <f t="shared" si="0"/>
        <v>-1.7732847624719446</v>
      </c>
      <c r="J7" s="8">
        <f t="shared" si="4"/>
        <v>3.418313611593307</v>
      </c>
      <c r="K7" s="3">
        <f t="shared" si="1"/>
        <v>2.3679540295988328</v>
      </c>
    </row>
    <row r="8" spans="1:11" x14ac:dyDescent="0.25">
      <c r="A8" s="29" t="s">
        <v>15</v>
      </c>
      <c r="B8" s="19" t="s">
        <v>8</v>
      </c>
      <c r="C8" s="14">
        <v>19.2572976169211</v>
      </c>
      <c r="D8" s="14">
        <v>19.3499512835564</v>
      </c>
      <c r="E8" s="14">
        <v>19.1302853783044</v>
      </c>
      <c r="F8" s="7">
        <f t="shared" si="2"/>
        <v>19.245844759593968</v>
      </c>
      <c r="G8" s="20">
        <f>GAPDH!F8</f>
        <v>18.645834194685303</v>
      </c>
      <c r="H8" s="12">
        <f t="shared" si="3"/>
        <v>0.60001056490866489</v>
      </c>
      <c r="I8" s="8">
        <f t="shared" si="0"/>
        <v>-4.3216396700359487</v>
      </c>
      <c r="J8" s="8">
        <f t="shared" si="4"/>
        <v>19.996001982205701</v>
      </c>
      <c r="K8" s="3">
        <f t="shared" si="1"/>
        <v>13.851746460313848</v>
      </c>
    </row>
    <row r="9" spans="1:11" x14ac:dyDescent="0.25">
      <c r="A9" s="30"/>
      <c r="B9" s="21" t="s">
        <v>9</v>
      </c>
      <c r="C9" s="14"/>
      <c r="D9" s="14">
        <v>20.849105770738198</v>
      </c>
      <c r="E9" s="14">
        <v>20.3859983915778</v>
      </c>
      <c r="F9" s="7">
        <f t="shared" si="2"/>
        <v>20.617552081157999</v>
      </c>
      <c r="G9" s="20">
        <f>GAPDH!F9</f>
        <v>20.081909751896802</v>
      </c>
      <c r="H9" s="12">
        <f t="shared" si="3"/>
        <v>0.53564232926119715</v>
      </c>
      <c r="I9" s="8">
        <f t="shared" si="0"/>
        <v>-4.3860079056834165</v>
      </c>
      <c r="J9" s="8">
        <f t="shared" si="4"/>
        <v>20.908358635645886</v>
      </c>
      <c r="K9" s="3">
        <f t="shared" si="1"/>
        <v>14.483759452514994</v>
      </c>
    </row>
    <row r="10" spans="1:11" x14ac:dyDescent="0.25">
      <c r="A10" s="30"/>
      <c r="B10" s="21" t="s">
        <v>10</v>
      </c>
      <c r="C10" s="14"/>
      <c r="D10" s="14">
        <v>19.657950202176799</v>
      </c>
      <c r="E10" s="14">
        <v>19.9752658412981</v>
      </c>
      <c r="F10" s="7">
        <f t="shared" si="2"/>
        <v>19.816608021737451</v>
      </c>
      <c r="G10" s="20">
        <f>GAPDH!F10</f>
        <v>20.786735832016049</v>
      </c>
      <c r="H10" s="12">
        <f t="shared" si="3"/>
        <v>-0.97012781027859774</v>
      </c>
      <c r="I10" s="8">
        <f t="shared" si="0"/>
        <v>-5.8917780452232114</v>
      </c>
      <c r="J10" s="8">
        <f t="shared" si="4"/>
        <v>59.374767142195168</v>
      </c>
      <c r="K10" s="3">
        <f t="shared" si="1"/>
        <v>41.130433039852072</v>
      </c>
    </row>
    <row r="11" spans="1:11" x14ac:dyDescent="0.25">
      <c r="A11" s="30"/>
      <c r="B11" s="21" t="s">
        <v>16</v>
      </c>
      <c r="C11" s="14">
        <v>21.7839619418294</v>
      </c>
      <c r="D11" s="14">
        <v>21.347638511669199</v>
      </c>
      <c r="E11" s="14"/>
      <c r="F11" s="7">
        <f t="shared" si="2"/>
        <v>21.5658002267493</v>
      </c>
      <c r="G11" s="20">
        <f>GAPDH!F11</f>
        <v>20.060528621664364</v>
      </c>
      <c r="H11" s="12">
        <f t="shared" si="3"/>
        <v>1.5052716050849355</v>
      </c>
      <c r="I11" s="8">
        <f t="shared" si="0"/>
        <v>-3.4163786298596781</v>
      </c>
      <c r="J11" s="8">
        <f t="shared" si="4"/>
        <v>10.676587019665973</v>
      </c>
      <c r="K11" s="3">
        <f t="shared" si="1"/>
        <v>7.39594727933597</v>
      </c>
    </row>
    <row r="12" spans="1:11" x14ac:dyDescent="0.25">
      <c r="A12" s="30"/>
      <c r="B12" s="21" t="s">
        <v>17</v>
      </c>
      <c r="C12" s="14">
        <v>22.040623134695402</v>
      </c>
      <c r="D12" s="14">
        <v>20.232153058947201</v>
      </c>
      <c r="E12" s="14">
        <v>19.384425689348401</v>
      </c>
      <c r="F12" s="7">
        <f t="shared" si="2"/>
        <v>20.552400627663669</v>
      </c>
      <c r="G12" s="20">
        <f>GAPDH!F12</f>
        <v>21.238924802909299</v>
      </c>
      <c r="H12" s="12">
        <f t="shared" si="3"/>
        <v>-0.68652417524562992</v>
      </c>
      <c r="I12" s="8">
        <f t="shared" si="0"/>
        <v>-5.6081744101902435</v>
      </c>
      <c r="J12" s="8">
        <f t="shared" si="4"/>
        <v>48.778531145293442</v>
      </c>
      <c r="K12" s="3">
        <f t="shared" si="1"/>
        <v>33.790146987002665</v>
      </c>
    </row>
    <row r="13" spans="1:11" x14ac:dyDescent="0.25">
      <c r="A13" s="31"/>
      <c r="B13" s="22" t="s">
        <v>22</v>
      </c>
      <c r="C13" s="14">
        <v>21.988802631133002</v>
      </c>
      <c r="D13" s="14">
        <v>21.430980915683499</v>
      </c>
      <c r="E13" s="14">
        <v>20.651736778275101</v>
      </c>
      <c r="F13" s="7">
        <f t="shared" si="2"/>
        <v>21.357173441697199</v>
      </c>
      <c r="G13" s="20">
        <f>GAPDH!F13</f>
        <v>20.442502804186251</v>
      </c>
      <c r="H13" s="12">
        <f t="shared" si="3"/>
        <v>0.91467063751094813</v>
      </c>
      <c r="I13" s="8">
        <f t="shared" si="0"/>
        <v>-4.0069795974336655</v>
      </c>
      <c r="J13" s="8">
        <f t="shared" si="4"/>
        <v>16.077593756142086</v>
      </c>
      <c r="K13" s="3">
        <f t="shared" si="1"/>
        <v>11.137363989070753</v>
      </c>
    </row>
    <row r="14" spans="1:11" x14ac:dyDescent="0.25">
      <c r="A14" s="29" t="s">
        <v>21</v>
      </c>
      <c r="B14" s="19" t="s">
        <v>8</v>
      </c>
      <c r="C14" s="14">
        <v>34.871395084857802</v>
      </c>
      <c r="D14" s="14">
        <v>35.5538162358176</v>
      </c>
      <c r="E14" s="14">
        <v>36.048988677788898</v>
      </c>
      <c r="F14" s="7">
        <f t="shared" si="2"/>
        <v>35.491399999488102</v>
      </c>
      <c r="G14" s="20">
        <f>GAPDH!F14</f>
        <v>33.702315575532673</v>
      </c>
      <c r="H14" s="12">
        <f t="shared" si="3"/>
        <v>1.7890844239554298</v>
      </c>
      <c r="I14" s="8">
        <f t="shared" si="0"/>
        <v>-3.1325658109891839</v>
      </c>
      <c r="J14" s="8">
        <f t="shared" si="4"/>
        <v>8.7699329397632955</v>
      </c>
      <c r="K14" s="3">
        <f t="shared" si="1"/>
        <v>6.0751588074285667</v>
      </c>
    </row>
    <row r="15" spans="1:11" x14ac:dyDescent="0.25">
      <c r="A15" s="30"/>
      <c r="B15" s="21" t="s">
        <v>9</v>
      </c>
      <c r="C15" s="14">
        <v>25.803830367713498</v>
      </c>
      <c r="D15" s="14">
        <v>25.141290145093301</v>
      </c>
      <c r="E15" s="14">
        <v>25.2145964044627</v>
      </c>
      <c r="F15" s="7">
        <f t="shared" si="2"/>
        <v>25.386572305756498</v>
      </c>
      <c r="G15" s="20">
        <f>GAPDH!F15</f>
        <v>22.521665880276032</v>
      </c>
      <c r="H15" s="12">
        <f t="shared" si="3"/>
        <v>2.8649064254804664</v>
      </c>
      <c r="I15" s="8">
        <f t="shared" si="0"/>
        <v>-2.0567438094641473</v>
      </c>
      <c r="J15" s="8">
        <f t="shared" si="4"/>
        <v>4.1604621949807399</v>
      </c>
      <c r="K15" s="3">
        <f t="shared" si="1"/>
        <v>2.8820595003880412</v>
      </c>
    </row>
    <row r="16" spans="1:11" x14ac:dyDescent="0.25">
      <c r="A16" s="30"/>
      <c r="B16" s="21" t="s">
        <v>10</v>
      </c>
      <c r="C16" s="14">
        <v>22.044923367984602</v>
      </c>
      <c r="D16" s="14">
        <v>22.134892887098299</v>
      </c>
      <c r="E16" s="14">
        <v>21.749676466777299</v>
      </c>
      <c r="F16" s="7">
        <f t="shared" si="2"/>
        <v>21.976497573953399</v>
      </c>
      <c r="G16" s="20">
        <f>GAPDH!F16</f>
        <v>20.784666424968396</v>
      </c>
      <c r="H16" s="12">
        <f t="shared" si="3"/>
        <v>1.1918311489850026</v>
      </c>
      <c r="I16" s="8">
        <f t="shared" si="0"/>
        <v>-3.729819085959611</v>
      </c>
      <c r="J16" s="8">
        <f t="shared" si="4"/>
        <v>13.267448889862942</v>
      </c>
      <c r="K16" s="3">
        <f t="shared" si="1"/>
        <v>9.1907041398123503</v>
      </c>
    </row>
    <row r="17" spans="1:11" x14ac:dyDescent="0.25">
      <c r="A17" s="30"/>
      <c r="B17" s="21" t="s">
        <v>16</v>
      </c>
      <c r="C17" s="14">
        <v>21.825715772592101</v>
      </c>
      <c r="D17" s="14">
        <v>20.953851066817801</v>
      </c>
      <c r="E17" s="14">
        <v>20.1618199035209</v>
      </c>
      <c r="F17" s="7">
        <f t="shared" si="2"/>
        <v>20.980462247643601</v>
      </c>
      <c r="G17" s="20">
        <f>GAPDH!F17</f>
        <v>21.597096689038967</v>
      </c>
      <c r="H17" s="12">
        <f t="shared" si="3"/>
        <v>-0.61663444139536594</v>
      </c>
      <c r="I17" s="8">
        <f t="shared" si="0"/>
        <v>-5.5382846763399796</v>
      </c>
      <c r="J17" s="8">
        <f t="shared" si="4"/>
        <v>46.471833995489227</v>
      </c>
      <c r="K17" s="3">
        <f t="shared" si="1"/>
        <v>32.192238359655541</v>
      </c>
    </row>
    <row r="18" spans="1:11" x14ac:dyDescent="0.25">
      <c r="A18" s="30"/>
      <c r="B18" s="21" t="s">
        <v>18</v>
      </c>
      <c r="C18" s="14">
        <v>35.250526314290497</v>
      </c>
      <c r="D18" s="14"/>
      <c r="E18" s="14"/>
      <c r="F18" s="7">
        <f t="shared" si="2"/>
        <v>35.250526314290497</v>
      </c>
      <c r="G18" s="20">
        <f>GAPDH!F18</f>
        <v>35.996443853511899</v>
      </c>
      <c r="H18" s="12">
        <f t="shared" si="3"/>
        <v>-0.74591753922140214</v>
      </c>
      <c r="I18" s="8">
        <f t="shared" si="0"/>
        <v>-5.6675677741660158</v>
      </c>
      <c r="J18" s="8">
        <f t="shared" si="4"/>
        <v>50.828571282142306</v>
      </c>
      <c r="K18" s="3">
        <f t="shared" si="1"/>
        <v>35.210262679848036</v>
      </c>
    </row>
    <row r="19" spans="1:11" x14ac:dyDescent="0.25">
      <c r="A19" s="29" t="s">
        <v>20</v>
      </c>
      <c r="B19" s="24" t="s">
        <v>8</v>
      </c>
      <c r="C19" s="14"/>
      <c r="D19" s="14">
        <v>19.584289004804901</v>
      </c>
      <c r="E19" s="14">
        <v>19.271167086781499</v>
      </c>
      <c r="F19" s="7">
        <f t="shared" si="2"/>
        <v>19.427728045793202</v>
      </c>
      <c r="G19" s="20">
        <f>GAPDH!F19</f>
        <v>18.892011097312736</v>
      </c>
      <c r="H19" s="12">
        <f t="shared" si="3"/>
        <v>0.53571694848046647</v>
      </c>
      <c r="I19" s="8">
        <f t="shared" si="0"/>
        <v>-4.3859332864641472</v>
      </c>
      <c r="J19" s="8">
        <f t="shared" si="4"/>
        <v>20.907277239365616</v>
      </c>
      <c r="K19" s="3">
        <f t="shared" si="1"/>
        <v>14.483010341412147</v>
      </c>
    </row>
    <row r="20" spans="1:11" x14ac:dyDescent="0.25">
      <c r="A20" s="30"/>
      <c r="B20" s="24" t="s">
        <v>9</v>
      </c>
      <c r="C20" s="14"/>
      <c r="D20" s="14">
        <v>19.682934647763101</v>
      </c>
      <c r="E20" s="25">
        <v>19.38</v>
      </c>
      <c r="F20" s="7">
        <f t="shared" si="2"/>
        <v>19.53146732388155</v>
      </c>
      <c r="G20" s="20">
        <f>GAPDH!F20</f>
        <v>20.564191870424551</v>
      </c>
      <c r="H20" s="12">
        <f t="shared" si="3"/>
        <v>-1.0327245465430011</v>
      </c>
      <c r="I20" s="8">
        <f t="shared" si="0"/>
        <v>-5.9543747814876147</v>
      </c>
      <c r="J20" s="8">
        <f t="shared" si="4"/>
        <v>62.007670292321563</v>
      </c>
      <c r="K20" s="3">
        <f t="shared" si="1"/>
        <v>42.954312979580379</v>
      </c>
    </row>
    <row r="21" spans="1:11" x14ac:dyDescent="0.25">
      <c r="A21" s="30"/>
      <c r="B21" s="24" t="s">
        <v>10</v>
      </c>
      <c r="C21" s="14">
        <v>20.618966675490402</v>
      </c>
      <c r="D21" s="14">
        <v>20.373550989117</v>
      </c>
      <c r="E21" s="14">
        <v>20.015562795955301</v>
      </c>
      <c r="F21" s="7">
        <f t="shared" si="2"/>
        <v>20.33602682018757</v>
      </c>
      <c r="G21" s="20">
        <f>GAPDH!F21</f>
        <v>21.228665872900599</v>
      </c>
      <c r="H21" s="12">
        <f t="shared" si="3"/>
        <v>-0.89263905271302946</v>
      </c>
      <c r="I21" s="8">
        <f t="shared" si="0"/>
        <v>-5.8142892876576431</v>
      </c>
      <c r="J21" s="8">
        <f t="shared" si="4"/>
        <v>56.269813929744004</v>
      </c>
      <c r="K21" s="3">
        <f t="shared" si="1"/>
        <v>38.979551843286679</v>
      </c>
    </row>
    <row r="22" spans="1:11" x14ac:dyDescent="0.25">
      <c r="A22" s="30"/>
      <c r="B22" s="24" t="s">
        <v>17</v>
      </c>
      <c r="C22" s="14">
        <v>22.0858918462188</v>
      </c>
      <c r="D22" s="14">
        <v>21.0445197169024</v>
      </c>
      <c r="E22" s="14">
        <v>20.473365710069199</v>
      </c>
      <c r="F22" s="7">
        <f t="shared" si="2"/>
        <v>21.201259091063466</v>
      </c>
      <c r="G22" s="20">
        <f>GAPDH!F22</f>
        <v>21.751256545280999</v>
      </c>
      <c r="H22" s="12">
        <f t="shared" si="3"/>
        <v>-0.54999745421753232</v>
      </c>
      <c r="I22" s="8">
        <f t="shared" si="0"/>
        <v>-5.4716476891621459</v>
      </c>
      <c r="J22" s="8">
        <f t="shared" si="4"/>
        <v>44.374153375876155</v>
      </c>
      <c r="K22" s="3">
        <f t="shared" si="1"/>
        <v>30.739120875297843</v>
      </c>
    </row>
    <row r="23" spans="1:11" x14ac:dyDescent="0.25">
      <c r="A23" s="30"/>
      <c r="B23" s="21" t="s">
        <v>18</v>
      </c>
      <c r="C23" s="14"/>
      <c r="D23" s="14">
        <v>22.513597476420099</v>
      </c>
      <c r="E23" s="14">
        <v>21.2444129283192</v>
      </c>
      <c r="F23" s="7">
        <f t="shared" si="2"/>
        <v>21.879005202369648</v>
      </c>
      <c r="G23" s="20">
        <f>GAPDH!F23</f>
        <v>21.227997258011033</v>
      </c>
      <c r="H23" s="12">
        <f t="shared" si="3"/>
        <v>0.65100794435861431</v>
      </c>
      <c r="I23" s="8">
        <f t="shared" si="0"/>
        <v>-4.2706422905859993</v>
      </c>
      <c r="J23" s="8">
        <f t="shared" si="4"/>
        <v>19.301516402454816</v>
      </c>
      <c r="K23" s="3">
        <f t="shared" si="1"/>
        <v>13.37065838182626</v>
      </c>
    </row>
    <row r="24" spans="1:11" x14ac:dyDescent="0.25">
      <c r="A24" s="31"/>
      <c r="B24" s="22" t="s">
        <v>22</v>
      </c>
      <c r="C24" s="14"/>
      <c r="D24" s="14">
        <v>21.4722695811923</v>
      </c>
      <c r="E24" s="14">
        <v>21.260479474347601</v>
      </c>
      <c r="F24" s="7">
        <f t="shared" si="2"/>
        <v>21.366374527769949</v>
      </c>
      <c r="G24" s="20">
        <f>GAPDH!F24</f>
        <v>21.106135835714401</v>
      </c>
      <c r="H24" s="12">
        <f t="shared" si="3"/>
        <v>0.26023869205554817</v>
      </c>
      <c r="I24" s="8">
        <f t="shared" si="0"/>
        <v>-4.6614115428890655</v>
      </c>
      <c r="J24" s="8">
        <f t="shared" si="4"/>
        <v>25.30606950596168</v>
      </c>
      <c r="K24" s="3">
        <f t="shared" si="1"/>
        <v>17.530167231209415</v>
      </c>
    </row>
    <row r="25" spans="1:11" x14ac:dyDescent="0.25">
      <c r="A25" s="26" t="s">
        <v>19</v>
      </c>
      <c r="B25" s="19" t="s">
        <v>8</v>
      </c>
      <c r="C25" s="14">
        <v>19.369150399006401</v>
      </c>
      <c r="D25" s="14">
        <v>19.423442822366699</v>
      </c>
      <c r="E25" s="14">
        <v>19.288421050643599</v>
      </c>
      <c r="F25" s="7">
        <f t="shared" si="2"/>
        <v>19.360338090672233</v>
      </c>
      <c r="G25" s="20">
        <f>GAPDH!F25</f>
        <v>19.217248238632866</v>
      </c>
      <c r="H25" s="12">
        <f t="shared" si="3"/>
        <v>0.14308985203936686</v>
      </c>
      <c r="I25" s="8">
        <f t="shared" si="0"/>
        <v>-4.7785603829052468</v>
      </c>
      <c r="J25" s="8">
        <f>POWER(2,-I25)</f>
        <v>27.446692161134461</v>
      </c>
      <c r="K25" s="3">
        <f t="shared" si="1"/>
        <v>19.013031771483202</v>
      </c>
    </row>
    <row r="26" spans="1:11" x14ac:dyDescent="0.25">
      <c r="A26" s="27"/>
      <c r="B26" s="21" t="s">
        <v>9</v>
      </c>
      <c r="C26" s="14">
        <v>20.4724528499647</v>
      </c>
      <c r="D26" s="14">
        <v>20.399358797196701</v>
      </c>
      <c r="E26" s="14"/>
      <c r="F26" s="7">
        <f t="shared" si="2"/>
        <v>20.435905823580701</v>
      </c>
      <c r="G26" s="20">
        <f>GAPDH!F26</f>
        <v>19.3055769566454</v>
      </c>
      <c r="H26" s="12">
        <f t="shared" si="3"/>
        <v>1.1303288669353009</v>
      </c>
      <c r="I26" s="8">
        <f t="shared" si="0"/>
        <v>-3.7913213680093127</v>
      </c>
      <c r="J26" s="8">
        <f t="shared" si="4"/>
        <v>13.845270813747788</v>
      </c>
      <c r="K26" s="3">
        <f t="shared" si="1"/>
        <v>9.5909762940152863</v>
      </c>
    </row>
    <row r="27" spans="1:11" x14ac:dyDescent="0.25">
      <c r="A27" s="27"/>
      <c r="B27" s="21" t="s">
        <v>10</v>
      </c>
      <c r="C27" s="14">
        <v>20.323681365915601</v>
      </c>
      <c r="D27" s="14">
        <v>19.833345347284599</v>
      </c>
      <c r="E27" s="14">
        <v>19.161967900411099</v>
      </c>
      <c r="F27" s="7">
        <f t="shared" si="2"/>
        <v>19.7729982045371</v>
      </c>
      <c r="G27" s="20">
        <f>GAPDH!F27</f>
        <v>20.327723146809266</v>
      </c>
      <c r="H27" s="12">
        <f t="shared" si="3"/>
        <v>-0.55472494227216629</v>
      </c>
      <c r="I27" s="8">
        <f t="shared" si="0"/>
        <v>-5.4763751772167799</v>
      </c>
      <c r="J27" s="8">
        <f t="shared" si="4"/>
        <v>44.519799098118405</v>
      </c>
      <c r="K27" s="3">
        <f t="shared" si="1"/>
        <v>30.840013424684678</v>
      </c>
    </row>
    <row r="28" spans="1:11" x14ac:dyDescent="0.25">
      <c r="A28" s="27"/>
      <c r="B28" s="21" t="s">
        <v>16</v>
      </c>
      <c r="C28" s="14">
        <v>23.543180592511899</v>
      </c>
      <c r="D28" s="14">
        <v>22.418120048505699</v>
      </c>
      <c r="E28" s="14">
        <v>21.335454590042598</v>
      </c>
      <c r="F28" s="7">
        <f t="shared" si="2"/>
        <v>22.432251743686734</v>
      </c>
      <c r="G28" s="20">
        <f>GAPDH!F28</f>
        <v>22.923007026111051</v>
      </c>
      <c r="H28" s="12">
        <f t="shared" si="3"/>
        <v>-0.49075528242431687</v>
      </c>
      <c r="I28" s="8">
        <f t="shared" si="0"/>
        <v>-5.4124055173689305</v>
      </c>
      <c r="J28" s="8">
        <f t="shared" si="4"/>
        <v>42.588898657123401</v>
      </c>
      <c r="K28" s="3">
        <f t="shared" si="1"/>
        <v>29.502428872904158</v>
      </c>
    </row>
    <row r="29" spans="1:11" x14ac:dyDescent="0.25">
      <c r="A29" s="27"/>
      <c r="B29" s="21" t="s">
        <v>17</v>
      </c>
      <c r="C29" s="14"/>
      <c r="D29" s="14">
        <v>21.552214825958899</v>
      </c>
      <c r="E29" s="14">
        <v>21.311475289343601</v>
      </c>
      <c r="F29" s="7">
        <f t="shared" si="2"/>
        <v>21.431845057651252</v>
      </c>
      <c r="G29" s="20">
        <f>GAPDH!F29</f>
        <v>22.475024702070129</v>
      </c>
      <c r="H29" s="12">
        <f t="shared" si="3"/>
        <v>-1.0431796444188777</v>
      </c>
      <c r="I29" s="8">
        <f t="shared" si="0"/>
        <v>-5.9648298793634913</v>
      </c>
      <c r="J29" s="8">
        <f t="shared" si="4"/>
        <v>62.458667214357384</v>
      </c>
      <c r="K29" s="3">
        <f t="shared" si="1"/>
        <v>43.266730182978407</v>
      </c>
    </row>
    <row r="30" spans="1:11" x14ac:dyDescent="0.25">
      <c r="A30" s="27"/>
      <c r="B30" s="21" t="s">
        <v>18</v>
      </c>
      <c r="C30" s="14">
        <v>20.268066444508801</v>
      </c>
      <c r="D30" s="14">
        <v>20.138811333142499</v>
      </c>
      <c r="E30" s="14"/>
      <c r="F30" s="7">
        <f t="shared" si="2"/>
        <v>20.203438888825652</v>
      </c>
      <c r="G30" s="20">
        <f>GAPDH!F30</f>
        <v>21.140750833179734</v>
      </c>
      <c r="H30" s="12">
        <f t="shared" si="3"/>
        <v>-0.93731194435408227</v>
      </c>
      <c r="I30" s="8">
        <f t="shared" si="0"/>
        <v>-5.8589621792986959</v>
      </c>
      <c r="J30" s="8">
        <f t="shared" si="4"/>
        <v>58.039459509210445</v>
      </c>
      <c r="K30" s="3">
        <f t="shared" si="1"/>
        <v>40.205430992188447</v>
      </c>
    </row>
    <row r="31" spans="1:11" x14ac:dyDescent="0.25">
      <c r="A31" s="27"/>
      <c r="B31" s="22" t="s">
        <v>22</v>
      </c>
      <c r="C31" s="14"/>
      <c r="D31" s="14">
        <v>20.560789464163399</v>
      </c>
      <c r="E31" s="14">
        <v>20.317120497470299</v>
      </c>
      <c r="F31" s="7">
        <f t="shared" si="2"/>
        <v>20.438954980816849</v>
      </c>
      <c r="G31" s="20">
        <f>GAPDH!F31</f>
        <v>20.343775545222034</v>
      </c>
      <c r="H31" s="12">
        <f t="shared" si="3"/>
        <v>9.5179435594815232E-2</v>
      </c>
      <c r="I31" s="8">
        <f t="shared" si="0"/>
        <v>-4.8264707993497984</v>
      </c>
      <c r="J31" s="8">
        <f t="shared" si="4"/>
        <v>28.373472070731964</v>
      </c>
      <c r="K31" s="3">
        <f t="shared" si="1"/>
        <v>19.655036125337599</v>
      </c>
    </row>
    <row r="32" spans="1:11" x14ac:dyDescent="0.25">
      <c r="A32" s="21"/>
      <c r="B32" s="21" t="s">
        <v>24</v>
      </c>
      <c r="C32" s="14">
        <v>23.024850102681999</v>
      </c>
      <c r="D32" s="14">
        <v>21.805617042632601</v>
      </c>
      <c r="E32" s="14">
        <v>20.962131319102699</v>
      </c>
      <c r="F32" s="7">
        <f t="shared" si="2"/>
        <v>21.930866154805766</v>
      </c>
      <c r="G32" s="20">
        <f>GAPDH!F32</f>
        <v>20.629437703399034</v>
      </c>
      <c r="H32" s="12">
        <f t="shared" si="3"/>
        <v>1.301428451406732</v>
      </c>
      <c r="I32" s="8">
        <f t="shared" si="0"/>
        <v>-3.6202217835378816</v>
      </c>
      <c r="J32" s="8">
        <f t="shared" si="4"/>
        <v>12.296891689370014</v>
      </c>
      <c r="K32" s="3">
        <f t="shared" si="1"/>
        <v>8.5183741271216302</v>
      </c>
    </row>
    <row r="33" spans="1:11" x14ac:dyDescent="0.25">
      <c r="A33" s="26" t="s">
        <v>23</v>
      </c>
      <c r="B33" s="19" t="s">
        <v>8</v>
      </c>
      <c r="C33" s="14">
        <v>27.025741124472201</v>
      </c>
      <c r="D33" s="14">
        <v>26.373483720735301</v>
      </c>
      <c r="E33" s="14">
        <v>26.234421777662199</v>
      </c>
      <c r="F33" s="7">
        <f t="shared" si="2"/>
        <v>26.544548874289898</v>
      </c>
      <c r="G33" s="20">
        <f>GAPDH!F33</f>
        <v>18.736274545950966</v>
      </c>
      <c r="H33" s="12">
        <f t="shared" si="3"/>
        <v>7.808274328338932</v>
      </c>
      <c r="I33" s="8">
        <f t="shared" si="0"/>
        <v>2.8866240933943184</v>
      </c>
      <c r="J33" s="8">
        <f t="shared" si="4"/>
        <v>0.13521957346904995</v>
      </c>
      <c r="K33" s="3">
        <f t="shared" si="1"/>
        <v>9.3670087142012415E-2</v>
      </c>
    </row>
    <row r="34" spans="1:11" x14ac:dyDescent="0.25">
      <c r="A34" s="28"/>
      <c r="B34" s="21" t="s">
        <v>9</v>
      </c>
      <c r="C34" s="14">
        <v>27.596515038724199</v>
      </c>
      <c r="D34" s="14">
        <v>27.3920435635664</v>
      </c>
      <c r="E34" s="14">
        <v>27.3179105311863</v>
      </c>
      <c r="F34" s="7">
        <f t="shared" si="2"/>
        <v>27.435489711158965</v>
      </c>
      <c r="G34" s="20">
        <f>GAPDH!F34</f>
        <v>21.223504031128797</v>
      </c>
      <c r="H34" s="12">
        <f t="shared" si="3"/>
        <v>6.2119856800301676</v>
      </c>
      <c r="I34" s="8">
        <f t="shared" si="0"/>
        <v>1.290335445085554</v>
      </c>
      <c r="J34" s="8">
        <f t="shared" si="4"/>
        <v>0.40885595397730085</v>
      </c>
      <c r="K34" s="3">
        <f t="shared" si="1"/>
        <v>0.2832250676071702</v>
      </c>
    </row>
    <row r="35" spans="1:11" x14ac:dyDescent="0.25">
      <c r="A35" s="28"/>
      <c r="B35" s="21" t="s">
        <v>10</v>
      </c>
      <c r="C35" s="14">
        <v>27.158324378947398</v>
      </c>
      <c r="D35" s="14">
        <v>26.7024693895296</v>
      </c>
      <c r="E35" s="14">
        <v>25.870496934195099</v>
      </c>
      <c r="F35" s="7">
        <f t="shared" si="2"/>
        <v>26.577096900890698</v>
      </c>
      <c r="G35" s="20">
        <f>GAPDH!F35</f>
        <v>20.15666628243655</v>
      </c>
      <c r="H35" s="12">
        <f t="shared" si="3"/>
        <v>6.420430618454148</v>
      </c>
      <c r="I35" s="8">
        <f t="shared" si="0"/>
        <v>1.4987803835095344</v>
      </c>
      <c r="J35" s="8">
        <f t="shared" si="4"/>
        <v>0.3538524017127111</v>
      </c>
      <c r="K35" s="3">
        <f t="shared" si="1"/>
        <v>0.24512268788827818</v>
      </c>
    </row>
    <row r="36" spans="1:11" x14ac:dyDescent="0.25">
      <c r="A36" s="28"/>
      <c r="B36" s="21" t="s">
        <v>16</v>
      </c>
      <c r="C36" s="14"/>
      <c r="D36" s="14">
        <v>22.713154541285199</v>
      </c>
      <c r="E36" s="14">
        <v>22.314849979410099</v>
      </c>
      <c r="F36" s="7">
        <f t="shared" si="2"/>
        <v>22.514002260347649</v>
      </c>
      <c r="G36" s="20">
        <f>GAPDH!F36</f>
        <v>20.725415710843169</v>
      </c>
      <c r="H36" s="12">
        <f t="shared" si="3"/>
        <v>1.7885865495044797</v>
      </c>
      <c r="I36" s="8">
        <f t="shared" si="0"/>
        <v>-3.1330636854401339</v>
      </c>
      <c r="J36" s="8">
        <f t="shared" si="4"/>
        <v>8.7729599682899213</v>
      </c>
      <c r="K36" s="3">
        <f t="shared" si="1"/>
        <v>6.0772557081848415</v>
      </c>
    </row>
    <row r="37" spans="1:11" x14ac:dyDescent="0.25">
      <c r="A37" s="28"/>
      <c r="B37" s="21" t="s">
        <v>18</v>
      </c>
      <c r="C37" s="14">
        <v>23.5433746480279</v>
      </c>
      <c r="D37" s="14">
        <v>24.102343200103601</v>
      </c>
      <c r="E37" s="14">
        <v>22.974984183547502</v>
      </c>
      <c r="F37" s="7">
        <f t="shared" si="2"/>
        <v>23.540234010559669</v>
      </c>
      <c r="G37" s="20">
        <f>GAPDH!F37</f>
        <v>22.257374319086434</v>
      </c>
      <c r="H37" s="12">
        <f t="shared" si="3"/>
        <v>1.2828596914732344</v>
      </c>
      <c r="I37" s="8">
        <f t="shared" si="0"/>
        <v>-3.6387905434713792</v>
      </c>
      <c r="J37" s="8">
        <f t="shared" si="4"/>
        <v>12.456186484203718</v>
      </c>
      <c r="K37" s="3">
        <f t="shared" si="1"/>
        <v>8.6287217412320771</v>
      </c>
    </row>
    <row r="38" spans="1:11" x14ac:dyDescent="0.25">
      <c r="A38" s="28"/>
      <c r="B38" s="22" t="s">
        <v>22</v>
      </c>
      <c r="C38" s="14">
        <v>26.692476626110299</v>
      </c>
      <c r="D38" s="14">
        <v>26.182833613339199</v>
      </c>
      <c r="E38" s="14">
        <v>25.310729549408901</v>
      </c>
      <c r="F38" s="7">
        <f t="shared" si="2"/>
        <v>26.062013262952799</v>
      </c>
      <c r="G38" s="20">
        <f>GAPDH!F38</f>
        <v>20.421690789811151</v>
      </c>
      <c r="H38" s="12">
        <f t="shared" si="3"/>
        <v>5.6403224731416479</v>
      </c>
      <c r="I38" s="8">
        <f t="shared" si="0"/>
        <v>0.7186722381970343</v>
      </c>
      <c r="J38" s="8">
        <f t="shared" si="4"/>
        <v>0.60765643201679465</v>
      </c>
      <c r="K38" s="3">
        <f t="shared" si="1"/>
        <v>0.42093928770190647</v>
      </c>
    </row>
    <row r="43" spans="1:11" x14ac:dyDescent="0.25">
      <c r="G43" s="10" t="s">
        <v>13</v>
      </c>
      <c r="H43" s="13">
        <f>AVERAGE(H2:H7)</f>
        <v>4.9216502349446136</v>
      </c>
      <c r="I43" s="10" t="s">
        <v>14</v>
      </c>
      <c r="J43" s="13">
        <f>AVERAGE(J2:J7)</f>
        <v>1.4435726238200752</v>
      </c>
    </row>
  </sheetData>
  <mergeCells count="6">
    <mergeCell ref="A33:A38"/>
    <mergeCell ref="A2:A7"/>
    <mergeCell ref="A8:A13"/>
    <mergeCell ref="A14:A18"/>
    <mergeCell ref="A19:A24"/>
    <mergeCell ref="A25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GAPDH</vt:lpstr>
      <vt:lpstr>IL-1b</vt:lpstr>
      <vt:lpstr>NFKB</vt:lpstr>
      <vt:lpstr>COX2</vt:lpstr>
      <vt:lpstr>DUSP1</vt:lpstr>
      <vt:lpstr>TNF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u196746</dc:creator>
  <cp:lastModifiedBy>Joel Sánchez Ramos</cp:lastModifiedBy>
  <dcterms:created xsi:type="dcterms:W3CDTF">2022-04-13T07:23:52Z</dcterms:created>
  <dcterms:modified xsi:type="dcterms:W3CDTF">2026-05-11T16:25:45Z</dcterms:modified>
</cp:coreProperties>
</file>